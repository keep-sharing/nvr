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89" codeName="{3D1A710C-6663-3D7B-7F91-EC182F24A4BC}"/>
  <workbookPr showInkAnnotation="0" codeName="ThisWorkbook" defaultThemeVersion="124226"/>
  <mc:AlternateContent xmlns:mc="http://schemas.openxmlformats.org/markup-compatibility/2006">
    <mc:Choice Requires="x15">
      <x15ac:absPath xmlns:x15ac="http://schemas.microsoft.com/office/spreadsheetml/2010/11/ac" url="Z:\project\na51090_linux_sdk_33x_rhdal_rc\na51090_linux_sdk\code\hdal\samples\hdal_product\NVR_16CH\"/>
    </mc:Choice>
  </mc:AlternateContent>
  <xr:revisionPtr revIDLastSave="0" documentId="13_ncr:1_{548206BE-7458-43BB-BEA2-17CFA7847BCD}" xr6:coauthVersionLast="36" xr6:coauthVersionMax="36" xr10:uidLastSave="{00000000-0000-0000-0000-000000000000}"/>
  <bookViews>
    <workbookView xWindow="0" yWindow="0" windowWidth="23040" windowHeight="10418" tabRatio="842" firstSheet="1" activeTab="1" xr2:uid="{00000000-000D-0000-FFFF-FFFF00000000}"/>
  </bookViews>
  <sheets>
    <sheet name="History" sheetId="31" state="hidden" r:id="rId1"/>
    <sheet name="Overview" sheetId="5" r:id="rId2"/>
    <sheet name="Pool Memory" sheetId="30" r:id="rId3"/>
    <sheet name="Video Flow" sheetId="23" r:id="rId4"/>
    <sheet name="Display" sheetId="26" state="hidden" r:id="rId5"/>
    <sheet name="Encode" sheetId="24" state="hidden" r:id="rId6"/>
    <sheet name="Decode" sheetId="25" state="hidden" r:id="rId7"/>
    <sheet name="Audio" sheetId="27" state="hidden" r:id="rId8"/>
    <sheet name="DispEncode" sheetId="28" state="hidden" r:id="rId9"/>
    <sheet name="MotionDetection" sheetId="29" state="hidden" r:id="rId10"/>
  </sheets>
  <functionGroups builtInGroupCount="19"/>
  <definedNames>
    <definedName name="aa">Overview!$E$11:$E$14</definedName>
  </definedNames>
  <calcPr calcId="191029"/>
</workbook>
</file>

<file path=xl/calcChain.xml><?xml version="1.0" encoding="utf-8"?>
<calcChain xmlns="http://schemas.openxmlformats.org/spreadsheetml/2006/main">
  <c r="G119" i="5" l="1"/>
  <c r="G114" i="5"/>
  <c r="G113" i="5"/>
  <c r="G112" i="5"/>
  <c r="G111" i="5"/>
  <c r="G110" i="5"/>
  <c r="G109" i="5"/>
  <c r="G108" i="5"/>
  <c r="G107" i="5"/>
  <c r="G102" i="5"/>
  <c r="G101" i="5"/>
  <c r="G100" i="5"/>
  <c r="G99" i="5"/>
  <c r="G98" i="5"/>
  <c r="G97" i="5"/>
  <c r="G96" i="5"/>
  <c r="G95" i="5"/>
  <c r="G90" i="5"/>
  <c r="G89" i="5"/>
  <c r="G88" i="5"/>
  <c r="G87" i="5"/>
  <c r="G83" i="5"/>
  <c r="G78" i="5"/>
  <c r="G77" i="5"/>
  <c r="G75" i="5"/>
  <c r="G74" i="5"/>
  <c r="G73" i="5"/>
  <c r="G72" i="5"/>
  <c r="G71" i="5"/>
  <c r="G70" i="5"/>
  <c r="G69" i="5"/>
  <c r="G63" i="5"/>
  <c r="G62" i="5"/>
  <c r="G61" i="5"/>
  <c r="G59" i="5"/>
  <c r="G58" i="5"/>
  <c r="G57" i="5"/>
  <c r="C169" i="5" l="1"/>
  <c r="N5" i="29" l="1"/>
  <c r="N4" i="29"/>
  <c r="N10" i="29" s="1"/>
  <c r="J5" i="29"/>
  <c r="J4" i="29"/>
  <c r="J10" i="29" s="1"/>
  <c r="F4" i="29"/>
  <c r="B5" i="29"/>
  <c r="B6" i="29" s="1"/>
  <c r="B4" i="29"/>
  <c r="F10" i="29" l="1"/>
  <c r="B10" i="29"/>
  <c r="C168" i="5"/>
  <c r="C165" i="5"/>
  <c r="B157" i="5" l="1"/>
  <c r="B155" i="5"/>
  <c r="B154" i="5"/>
  <c r="B153" i="5"/>
  <c r="B152" i="5"/>
  <c r="B156" i="5" l="1"/>
  <c r="B158" i="5" l="1"/>
  <c r="C50" i="26" l="1"/>
  <c r="C27" i="26"/>
  <c r="C4" i="26"/>
  <c r="A147" i="5" l="1"/>
  <c r="B25" i="30" l="1"/>
  <c r="C25" i="30" s="1"/>
  <c r="B24" i="30"/>
  <c r="O62" i="5" l="1"/>
  <c r="K62" i="5"/>
  <c r="O61" i="5"/>
  <c r="K61" i="5"/>
  <c r="G51" i="26" l="1"/>
  <c r="G28" i="26"/>
  <c r="G5" i="26"/>
  <c r="B23" i="30" l="1"/>
  <c r="B20" i="30"/>
  <c r="O21" i="24" l="1"/>
  <c r="K21" i="24"/>
  <c r="G21" i="24"/>
  <c r="O39" i="24"/>
  <c r="K39" i="24"/>
  <c r="G39" i="24"/>
  <c r="O42" i="24"/>
  <c r="K42" i="24"/>
  <c r="G42" i="24"/>
  <c r="O60" i="24"/>
  <c r="K60" i="24"/>
  <c r="G60" i="24"/>
  <c r="O63" i="24"/>
  <c r="K63" i="24"/>
  <c r="G63" i="24"/>
  <c r="B31" i="30" l="1"/>
  <c r="C31" i="30" s="1"/>
  <c r="O63" i="5"/>
  <c r="K63" i="5"/>
  <c r="O75" i="5"/>
  <c r="N42" i="25" s="1"/>
  <c r="K75" i="5"/>
  <c r="F42" i="25"/>
  <c r="B42" i="25"/>
  <c r="J42" i="25"/>
  <c r="J20" i="25"/>
  <c r="F19" i="25"/>
  <c r="F20" i="25"/>
  <c r="B20" i="25"/>
  <c r="B19" i="25"/>
  <c r="J19" i="25"/>
  <c r="F41" i="25"/>
  <c r="B41" i="25"/>
  <c r="N19" i="25"/>
  <c r="N20" i="25"/>
  <c r="J41" i="25"/>
  <c r="N29" i="30" l="1"/>
  <c r="J29" i="30"/>
  <c r="F29" i="30"/>
  <c r="N41" i="25"/>
  <c r="B11" i="24" l="1"/>
  <c r="B8" i="25" l="1"/>
  <c r="F5" i="29" l="1"/>
  <c r="N30" i="30" l="1"/>
  <c r="O30" i="30" s="1"/>
  <c r="J4" i="24" l="1"/>
  <c r="J21" i="24" s="1"/>
  <c r="N4" i="24"/>
  <c r="J5" i="24"/>
  <c r="N5" i="24"/>
  <c r="J6" i="24"/>
  <c r="N6" i="24"/>
  <c r="J7" i="24"/>
  <c r="N7" i="24"/>
  <c r="K18" i="24"/>
  <c r="O18" i="24"/>
  <c r="J25" i="24"/>
  <c r="N25" i="24"/>
  <c r="J26" i="24"/>
  <c r="N26" i="24"/>
  <c r="J27" i="24"/>
  <c r="N27" i="24"/>
  <c r="J28" i="24"/>
  <c r="N28" i="24"/>
  <c r="J46" i="24"/>
  <c r="N46" i="24"/>
  <c r="J47" i="24"/>
  <c r="N47" i="24"/>
  <c r="J48" i="24"/>
  <c r="N48" i="24"/>
  <c r="J49" i="24"/>
  <c r="N49" i="24"/>
  <c r="J67" i="24"/>
  <c r="N67" i="24"/>
  <c r="N72" i="24" s="1"/>
  <c r="J68" i="24"/>
  <c r="N68" i="24"/>
  <c r="J69" i="24"/>
  <c r="N69" i="24"/>
  <c r="J70" i="24"/>
  <c r="N70" i="24"/>
  <c r="J4" i="25"/>
  <c r="N4" i="25"/>
  <c r="N18" i="25" s="1"/>
  <c r="J5" i="25"/>
  <c r="N5" i="25"/>
  <c r="J6" i="25"/>
  <c r="N6" i="25"/>
  <c r="J10" i="25"/>
  <c r="N10" i="25"/>
  <c r="J11" i="25"/>
  <c r="N11" i="25"/>
  <c r="J26" i="25"/>
  <c r="N26" i="25"/>
  <c r="J27" i="25"/>
  <c r="N27" i="25"/>
  <c r="J28" i="25"/>
  <c r="N28" i="25"/>
  <c r="J32" i="25"/>
  <c r="N32" i="25"/>
  <c r="J72" i="24"/>
  <c r="J15" i="24"/>
  <c r="J36" i="24"/>
  <c r="N59" i="24"/>
  <c r="J59" i="24"/>
  <c r="J38" i="24"/>
  <c r="N38" i="24"/>
  <c r="N36" i="24" l="1"/>
  <c r="N39" i="24"/>
  <c r="N42" i="24"/>
  <c r="J39" i="24"/>
  <c r="J42" i="24"/>
  <c r="J60" i="24"/>
  <c r="J63" i="24"/>
  <c r="N57" i="24"/>
  <c r="N60" i="24"/>
  <c r="N63" i="24"/>
  <c r="N15" i="24"/>
  <c r="N21" i="24"/>
  <c r="J57" i="24"/>
  <c r="N40" i="25"/>
  <c r="N7" i="30" s="1"/>
  <c r="N44" i="25"/>
  <c r="N15" i="25"/>
  <c r="N21" i="25" s="1"/>
  <c r="N14" i="25"/>
  <c r="N22" i="25"/>
  <c r="J13" i="25"/>
  <c r="J73" i="24"/>
  <c r="N35" i="25"/>
  <c r="J35" i="25"/>
  <c r="J43" i="24"/>
  <c r="N73" i="24"/>
  <c r="N13" i="25"/>
  <c r="J64" i="24"/>
  <c r="J22" i="24"/>
  <c r="N18" i="24"/>
  <c r="N64" i="24"/>
  <c r="N43" i="24"/>
  <c r="N22" i="24"/>
  <c r="N32" i="30"/>
  <c r="O32" i="30" s="1"/>
  <c r="J32" i="30"/>
  <c r="K32" i="30" s="1"/>
  <c r="F32" i="30"/>
  <c r="G32" i="30" s="1"/>
  <c r="N31" i="30"/>
  <c r="O31" i="30" s="1"/>
  <c r="J31" i="30"/>
  <c r="K31" i="30" s="1"/>
  <c r="F31" i="30"/>
  <c r="G31" i="30" s="1"/>
  <c r="J30" i="30"/>
  <c r="K30" i="30" s="1"/>
  <c r="F30" i="30"/>
  <c r="G30" i="30" s="1"/>
  <c r="N36" i="25"/>
  <c r="N37" i="25"/>
  <c r="N43" i="25" s="1"/>
  <c r="J14" i="25"/>
  <c r="J15" i="25"/>
  <c r="J36" i="25"/>
  <c r="N5" i="30" l="1"/>
  <c r="J21" i="25"/>
  <c r="J43" i="25"/>
  <c r="J44" i="25"/>
  <c r="J22" i="25"/>
  <c r="O7" i="30"/>
  <c r="B34" i="25" l="1"/>
  <c r="B12" i="25"/>
  <c r="B9" i="27" l="1"/>
  <c r="B17" i="27" l="1"/>
  <c r="G18" i="24" l="1"/>
  <c r="B55" i="24" l="1"/>
  <c r="B54" i="24"/>
  <c r="B47" i="24"/>
  <c r="B35" i="24"/>
  <c r="B34" i="24"/>
  <c r="B26" i="24"/>
  <c r="B14" i="24"/>
  <c r="B13" i="24"/>
  <c r="B5" i="24"/>
  <c r="O110" i="5"/>
  <c r="N55" i="24" s="1"/>
  <c r="O109" i="5"/>
  <c r="N54" i="24" s="1"/>
  <c r="K110" i="5"/>
  <c r="J55" i="24" s="1"/>
  <c r="K109" i="5"/>
  <c r="J54" i="24" s="1"/>
  <c r="F55" i="24"/>
  <c r="F54" i="24"/>
  <c r="O98" i="5"/>
  <c r="N35" i="24" s="1"/>
  <c r="O97" i="5"/>
  <c r="N34" i="24" s="1"/>
  <c r="K98" i="5"/>
  <c r="J35" i="24" s="1"/>
  <c r="K97" i="5"/>
  <c r="J34" i="24" s="1"/>
  <c r="F35" i="24"/>
  <c r="F34" i="24"/>
  <c r="O86" i="5"/>
  <c r="N14" i="24" s="1"/>
  <c r="O85" i="5"/>
  <c r="N13" i="24" s="1"/>
  <c r="K86" i="5"/>
  <c r="J14" i="24" s="1"/>
  <c r="K85" i="5"/>
  <c r="J13" i="24" s="1"/>
  <c r="B38" i="25"/>
  <c r="B39" i="25"/>
  <c r="B17" i="25"/>
  <c r="F39" i="25"/>
  <c r="K74" i="5"/>
  <c r="O74" i="5"/>
  <c r="N39" i="25" s="1"/>
  <c r="F38" i="25"/>
  <c r="K73" i="5"/>
  <c r="O73" i="5"/>
  <c r="N38" i="25" s="1"/>
  <c r="B16" i="25"/>
  <c r="B5" i="25"/>
  <c r="N17" i="25"/>
  <c r="N16" i="25"/>
  <c r="J17" i="25"/>
  <c r="J16" i="25"/>
  <c r="F17" i="25"/>
  <c r="F16" i="25"/>
  <c r="O78" i="5"/>
  <c r="O77" i="5"/>
  <c r="N76" i="24" s="1"/>
  <c r="K78" i="5"/>
  <c r="K77" i="5"/>
  <c r="J76" i="24" s="1"/>
  <c r="F81" i="24"/>
  <c r="F76" i="24"/>
  <c r="B81" i="24"/>
  <c r="B79" i="24"/>
  <c r="B76" i="24"/>
  <c r="G56" i="26"/>
  <c r="G54" i="26"/>
  <c r="G33" i="26"/>
  <c r="G31" i="26"/>
  <c r="G10" i="26"/>
  <c r="G8" i="26"/>
  <c r="J18" i="25"/>
  <c r="B83" i="24"/>
  <c r="F14" i="24" l="1"/>
  <c r="C164" i="5"/>
  <c r="J79" i="24"/>
  <c r="J81" i="24"/>
  <c r="J38" i="25"/>
  <c r="C166" i="5"/>
  <c r="J39" i="25"/>
  <c r="C167" i="5"/>
  <c r="N81" i="24"/>
  <c r="N79" i="24"/>
  <c r="F13" i="24"/>
  <c r="C163" i="5"/>
  <c r="B159" i="5" s="1"/>
  <c r="J18" i="24"/>
  <c r="J82" i="24"/>
  <c r="N82" i="24"/>
  <c r="F79" i="24"/>
  <c r="F82" i="24"/>
  <c r="B8" i="28"/>
  <c r="B32" i="30"/>
  <c r="C32" i="30" s="1"/>
  <c r="B30" i="30"/>
  <c r="C30" i="30" s="1"/>
  <c r="F83" i="24"/>
  <c r="J83" i="24"/>
  <c r="N83" i="24"/>
  <c r="B160" i="5" l="1"/>
  <c r="N16" i="24"/>
  <c r="N37" i="24"/>
  <c r="N58" i="24"/>
  <c r="J16" i="24"/>
  <c r="J37" i="24"/>
  <c r="J58" i="24"/>
  <c r="B10" i="28"/>
  <c r="B9" i="28"/>
  <c r="B71" i="24"/>
  <c r="F71" i="24"/>
  <c r="K119" i="5" l="1"/>
  <c r="J71" i="24" s="1"/>
  <c r="B16" i="27"/>
  <c r="B15" i="27"/>
  <c r="B14" i="27"/>
  <c r="B13" i="27"/>
  <c r="B7" i="27"/>
  <c r="B6" i="27"/>
  <c r="B18" i="27" l="1"/>
  <c r="O119" i="5"/>
  <c r="N71" i="24" s="1"/>
  <c r="B5" i="27"/>
  <c r="B62" i="24"/>
  <c r="F49" i="24"/>
  <c r="F48" i="24"/>
  <c r="F47" i="24"/>
  <c r="F46" i="24"/>
  <c r="B56" i="24"/>
  <c r="B53" i="24"/>
  <c r="B52" i="24"/>
  <c r="B51" i="24"/>
  <c r="B50" i="24"/>
  <c r="K114" i="5"/>
  <c r="J53" i="24" s="1"/>
  <c r="K113" i="5"/>
  <c r="J52" i="24" s="1"/>
  <c r="F50" i="24"/>
  <c r="F62" i="24"/>
  <c r="F56" i="24"/>
  <c r="K107" i="5"/>
  <c r="J51" i="24" s="1"/>
  <c r="F63" i="24" l="1"/>
  <c r="F60" i="24"/>
  <c r="F53" i="24"/>
  <c r="F51" i="24"/>
  <c r="O107" i="5"/>
  <c r="N51" i="24" s="1"/>
  <c r="O114" i="5"/>
  <c r="N53" i="24" s="1"/>
  <c r="O113" i="5"/>
  <c r="N52" i="24" s="1"/>
  <c r="F52" i="24"/>
  <c r="K108" i="5"/>
  <c r="J56" i="24" s="1"/>
  <c r="J61" i="24" s="1"/>
  <c r="K111" i="5"/>
  <c r="J62" i="24" s="1"/>
  <c r="K112" i="5"/>
  <c r="J50" i="24" s="1"/>
  <c r="F28" i="24"/>
  <c r="F27" i="24"/>
  <c r="F26" i="24"/>
  <c r="F25" i="24"/>
  <c r="B41" i="24"/>
  <c r="B20" i="24"/>
  <c r="O99" i="5"/>
  <c r="N41" i="24" s="1"/>
  <c r="K99" i="5"/>
  <c r="J41" i="24" s="1"/>
  <c r="F41" i="24"/>
  <c r="O87" i="5"/>
  <c r="N20" i="24" s="1"/>
  <c r="K87" i="5"/>
  <c r="J20" i="24" s="1"/>
  <c r="F20" i="24"/>
  <c r="B33" i="24"/>
  <c r="B32" i="24"/>
  <c r="B31" i="24"/>
  <c r="B30" i="24"/>
  <c r="B29" i="24"/>
  <c r="O102" i="5"/>
  <c r="N32" i="24" s="1"/>
  <c r="K102" i="5"/>
  <c r="J32" i="24" s="1"/>
  <c r="F32" i="24"/>
  <c r="O101" i="5"/>
  <c r="N31" i="24" s="1"/>
  <c r="K101" i="5"/>
  <c r="J31" i="24" s="1"/>
  <c r="F31" i="24"/>
  <c r="O100" i="5"/>
  <c r="N29" i="24" s="1"/>
  <c r="K100" i="5"/>
  <c r="J29" i="24" s="1"/>
  <c r="F29" i="24"/>
  <c r="O96" i="5"/>
  <c r="N33" i="24" s="1"/>
  <c r="N40" i="24" s="1"/>
  <c r="K96" i="5"/>
  <c r="J33" i="24" s="1"/>
  <c r="J40" i="24" s="1"/>
  <c r="F33" i="24"/>
  <c r="O95" i="5"/>
  <c r="N30" i="24" s="1"/>
  <c r="K95" i="5"/>
  <c r="J30" i="24" s="1"/>
  <c r="F30" i="24"/>
  <c r="B12" i="24"/>
  <c r="O84" i="5"/>
  <c r="N12" i="24" s="1"/>
  <c r="N19" i="24" s="1"/>
  <c r="K84" i="5"/>
  <c r="J12" i="24" s="1"/>
  <c r="J19" i="24" s="1"/>
  <c r="F12" i="24"/>
  <c r="F7" i="24"/>
  <c r="O90" i="5"/>
  <c r="N11" i="24" s="1"/>
  <c r="K90" i="5"/>
  <c r="J11" i="24" s="1"/>
  <c r="F11" i="24"/>
  <c r="B10" i="24"/>
  <c r="B9" i="24"/>
  <c r="B8" i="24"/>
  <c r="B4" i="24"/>
  <c r="B21" i="24" s="1"/>
  <c r="O89" i="5"/>
  <c r="O88" i="5"/>
  <c r="N8" i="24" s="1"/>
  <c r="O83" i="5"/>
  <c r="N9" i="24" s="1"/>
  <c r="K89" i="5"/>
  <c r="K88" i="5"/>
  <c r="J8" i="24" s="1"/>
  <c r="K83" i="5"/>
  <c r="J9" i="24" s="1"/>
  <c r="F10" i="24"/>
  <c r="F8" i="24"/>
  <c r="F9" i="24"/>
  <c r="B28" i="25"/>
  <c r="B33" i="25"/>
  <c r="B31" i="25"/>
  <c r="B29" i="25"/>
  <c r="B26" i="25"/>
  <c r="B27" i="25"/>
  <c r="B32" i="25"/>
  <c r="O72" i="5"/>
  <c r="N33" i="25" s="1"/>
  <c r="O71" i="5"/>
  <c r="N34" i="25" s="1"/>
  <c r="N45" i="25" s="1"/>
  <c r="O70" i="5"/>
  <c r="N31" i="25" s="1"/>
  <c r="O69" i="5"/>
  <c r="N29" i="25" s="1"/>
  <c r="K72" i="5"/>
  <c r="J33" i="25" s="1"/>
  <c r="K71" i="5"/>
  <c r="J34" i="25" s="1"/>
  <c r="J45" i="25" s="1"/>
  <c r="K70" i="5"/>
  <c r="J31" i="25" s="1"/>
  <c r="K69" i="5"/>
  <c r="J29" i="25" s="1"/>
  <c r="F33" i="25"/>
  <c r="F34" i="25"/>
  <c r="F31" i="25"/>
  <c r="F29" i="25"/>
  <c r="F11" i="25"/>
  <c r="F10" i="25"/>
  <c r="B11" i="25"/>
  <c r="B10" i="25"/>
  <c r="B9" i="25"/>
  <c r="B7" i="25"/>
  <c r="O59" i="5"/>
  <c r="N12" i="25" s="1"/>
  <c r="K59" i="5"/>
  <c r="J12" i="25" s="1"/>
  <c r="F12" i="25"/>
  <c r="O58" i="5"/>
  <c r="N9" i="25" s="1"/>
  <c r="O57" i="5"/>
  <c r="N7" i="25" s="1"/>
  <c r="K58" i="5"/>
  <c r="J9" i="25" s="1"/>
  <c r="K57" i="5"/>
  <c r="J7" i="25" s="1"/>
  <c r="F7" i="25"/>
  <c r="F9" i="25"/>
  <c r="C32" i="26"/>
  <c r="C64" i="26"/>
  <c r="C63" i="26"/>
  <c r="C62" i="26"/>
  <c r="C61" i="26"/>
  <c r="C60" i="26"/>
  <c r="C58" i="26"/>
  <c r="C57" i="26"/>
  <c r="C56" i="26"/>
  <c r="C55" i="26"/>
  <c r="C59" i="26"/>
  <c r="C36" i="26"/>
  <c r="C31" i="26"/>
  <c r="C54" i="26"/>
  <c r="C51" i="26"/>
  <c r="C35" i="26"/>
  <c r="C39" i="26"/>
  <c r="C40" i="26"/>
  <c r="C41" i="26"/>
  <c r="C18" i="26"/>
  <c r="C17" i="26"/>
  <c r="C16" i="26"/>
  <c r="C15" i="26"/>
  <c r="C14" i="26"/>
  <c r="C13" i="26"/>
  <c r="C12" i="26"/>
  <c r="C9" i="26"/>
  <c r="C8" i="26"/>
  <c r="F57" i="24"/>
  <c r="J40" i="25"/>
  <c r="J37" i="25"/>
  <c r="C67" i="26"/>
  <c r="F59" i="24"/>
  <c r="F42" i="24" l="1"/>
  <c r="F39" i="24"/>
  <c r="J7" i="30"/>
  <c r="K7" i="30" s="1"/>
  <c r="B44" i="25"/>
  <c r="B40" i="25"/>
  <c r="B36" i="25"/>
  <c r="F24" i="30"/>
  <c r="G24" i="30" s="1"/>
  <c r="H24" i="30" s="1"/>
  <c r="B35" i="25"/>
  <c r="J10" i="24"/>
  <c r="N10" i="24"/>
  <c r="J30" i="25"/>
  <c r="N30" i="25"/>
  <c r="F36" i="24"/>
  <c r="B18" i="24"/>
  <c r="O112" i="5"/>
  <c r="N50" i="24" s="1"/>
  <c r="O111" i="5"/>
  <c r="N62" i="24" s="1"/>
  <c r="O108" i="5"/>
  <c r="N56" i="24" s="1"/>
  <c r="N61" i="24" s="1"/>
  <c r="F30" i="25"/>
  <c r="C53" i="26"/>
  <c r="C69" i="26"/>
  <c r="C24" i="30"/>
  <c r="B37" i="25"/>
  <c r="N17" i="24"/>
  <c r="J17" i="24"/>
  <c r="C68" i="26"/>
  <c r="F38" i="24"/>
  <c r="C70" i="26" l="1"/>
  <c r="B45" i="25"/>
  <c r="F25" i="30" l="1"/>
  <c r="G25" i="30" s="1"/>
  <c r="H25" i="30" s="1"/>
  <c r="C5" i="26"/>
  <c r="B6" i="24" l="1"/>
  <c r="B25" i="24"/>
  <c r="B27" i="24"/>
  <c r="B4" i="25"/>
  <c r="B22" i="25" s="1"/>
  <c r="B5" i="30" s="1"/>
  <c r="B6" i="25"/>
  <c r="B13" i="25" s="1"/>
  <c r="D30" i="30"/>
  <c r="D31" i="30"/>
  <c r="D32" i="30"/>
  <c r="B15" i="24"/>
  <c r="B38" i="24"/>
  <c r="B42" i="24" l="1"/>
  <c r="B39" i="24"/>
  <c r="B18" i="25"/>
  <c r="B4" i="28"/>
  <c r="B36" i="24"/>
  <c r="B15" i="25"/>
  <c r="B14" i="25"/>
  <c r="P31" i="30" l="1"/>
  <c r="L31" i="30"/>
  <c r="H31" i="30"/>
  <c r="F4" i="25" l="1"/>
  <c r="F18" i="25"/>
  <c r="J8" i="25" l="1"/>
  <c r="N8" i="25"/>
  <c r="F8" i="25"/>
  <c r="C37" i="26"/>
  <c r="C22" i="26"/>
  <c r="J23" i="25" l="1"/>
  <c r="N23" i="25"/>
  <c r="C52" i="26"/>
  <c r="C38" i="26"/>
  <c r="G58" i="26"/>
  <c r="C45" i="26"/>
  <c r="F67" i="24" l="1"/>
  <c r="F4" i="24"/>
  <c r="F21" i="24" s="1"/>
  <c r="F6" i="25"/>
  <c r="C66" i="26"/>
  <c r="C23" i="30" l="1"/>
  <c r="F18" i="24"/>
  <c r="F22" i="24"/>
  <c r="G11" i="30" s="1"/>
  <c r="K11" i="30"/>
  <c r="O11" i="30"/>
  <c r="F37" i="24" l="1"/>
  <c r="F58" i="24"/>
  <c r="C33" i="26"/>
  <c r="C34" i="26"/>
  <c r="C10" i="26"/>
  <c r="C11" i="26"/>
  <c r="C7" i="26" s="1"/>
  <c r="C44" i="26"/>
  <c r="C21" i="26"/>
  <c r="B21" i="30" l="1"/>
  <c r="F21" i="30"/>
  <c r="G21" i="30" s="1"/>
  <c r="H21" i="30" s="1"/>
  <c r="F18" i="30"/>
  <c r="G18" i="30" s="1"/>
  <c r="H18" i="30" s="1"/>
  <c r="B18" i="30"/>
  <c r="C18" i="30" s="1"/>
  <c r="C6" i="26"/>
  <c r="C23" i="26"/>
  <c r="B17" i="28"/>
  <c r="C28" i="26"/>
  <c r="B7" i="28"/>
  <c r="G12" i="26"/>
  <c r="B17" i="30" l="1"/>
  <c r="B22" i="24"/>
  <c r="C11" i="30" s="1"/>
  <c r="P32" i="30"/>
  <c r="P30" i="30"/>
  <c r="L32" i="30"/>
  <c r="L30" i="30"/>
  <c r="H32" i="30"/>
  <c r="H30" i="30"/>
  <c r="N6" i="29"/>
  <c r="J6" i="29"/>
  <c r="F6" i="29"/>
  <c r="F70" i="24"/>
  <c r="F69" i="24"/>
  <c r="F68" i="24"/>
  <c r="B70" i="24"/>
  <c r="B69" i="24"/>
  <c r="B68" i="24"/>
  <c r="B67" i="24"/>
  <c r="B72" i="24" s="1"/>
  <c r="O10" i="30"/>
  <c r="K10" i="30"/>
  <c r="F19" i="24"/>
  <c r="G10" i="30" s="1"/>
  <c r="B19" i="24"/>
  <c r="C10" i="30" s="1"/>
  <c r="B6" i="28"/>
  <c r="B5" i="28"/>
  <c r="B16" i="28" s="1"/>
  <c r="B27" i="30"/>
  <c r="B4" i="27"/>
  <c r="D24" i="30"/>
  <c r="C30" i="26"/>
  <c r="C29" i="26"/>
  <c r="F5" i="25"/>
  <c r="F26" i="25"/>
  <c r="F36" i="25" s="1"/>
  <c r="F27" i="25"/>
  <c r="F28" i="25"/>
  <c r="F32" i="25"/>
  <c r="F5" i="24"/>
  <c r="F6" i="24"/>
  <c r="B7" i="24"/>
  <c r="B43" i="24"/>
  <c r="C13" i="30" s="1"/>
  <c r="B28" i="24"/>
  <c r="B46" i="24"/>
  <c r="B48" i="24"/>
  <c r="B49" i="24"/>
  <c r="C20" i="26"/>
  <c r="B14" i="28"/>
  <c r="B15" i="28"/>
  <c r="B13" i="28"/>
  <c r="F17" i="24"/>
  <c r="F14" i="25"/>
  <c r="G35" i="26"/>
  <c r="F15" i="25"/>
  <c r="B59" i="24"/>
  <c r="F15" i="24"/>
  <c r="F72" i="24"/>
  <c r="B63" i="24" l="1"/>
  <c r="B60" i="24"/>
  <c r="C43" i="26"/>
  <c r="C27" i="30"/>
  <c r="D27" i="30" s="1"/>
  <c r="J5" i="30"/>
  <c r="F21" i="25"/>
  <c r="B21" i="25" s="1"/>
  <c r="F40" i="25"/>
  <c r="F7" i="30" s="1"/>
  <c r="F44" i="25"/>
  <c r="F13" i="25"/>
  <c r="F22" i="25" s="1"/>
  <c r="B7" i="29"/>
  <c r="B8" i="29"/>
  <c r="F35" i="25"/>
  <c r="N8" i="29"/>
  <c r="N7" i="29"/>
  <c r="N9" i="29" s="1"/>
  <c r="J7" i="29"/>
  <c r="J9" i="29" s="1"/>
  <c r="J8" i="29"/>
  <c r="F8" i="29"/>
  <c r="F7" i="29"/>
  <c r="F9" i="29" s="1"/>
  <c r="O28" i="30"/>
  <c r="G28" i="30"/>
  <c r="F45" i="25"/>
  <c r="C17" i="30"/>
  <c r="K28" i="30"/>
  <c r="B10" i="27"/>
  <c r="B26" i="30" s="1"/>
  <c r="B73" i="24"/>
  <c r="B16" i="30" s="1"/>
  <c r="F23" i="25"/>
  <c r="B23" i="25"/>
  <c r="K13" i="30"/>
  <c r="F64" i="24"/>
  <c r="G15" i="30" s="1"/>
  <c r="O13" i="30"/>
  <c r="O15" i="30"/>
  <c r="F43" i="24"/>
  <c r="G13" i="30" s="1"/>
  <c r="K15" i="30"/>
  <c r="B64" i="24"/>
  <c r="C15" i="30" s="1"/>
  <c r="N16" i="30"/>
  <c r="J16" i="30"/>
  <c r="F73" i="24"/>
  <c r="F16" i="30" s="1"/>
  <c r="B40" i="24"/>
  <c r="C12" i="30" s="1"/>
  <c r="O14" i="30"/>
  <c r="K14" i="30"/>
  <c r="F61" i="24"/>
  <c r="G14" i="30" s="1"/>
  <c r="B61" i="24"/>
  <c r="C14" i="30" s="1"/>
  <c r="K12" i="30"/>
  <c r="B16" i="24"/>
  <c r="C24" i="26"/>
  <c r="D18" i="30"/>
  <c r="F40" i="24"/>
  <c r="G12" i="30" s="1"/>
  <c r="C47" i="26"/>
  <c r="O12" i="30"/>
  <c r="C46" i="26"/>
  <c r="B37" i="24"/>
  <c r="B57" i="24"/>
  <c r="F37" i="25"/>
  <c r="F43" i="25" s="1"/>
  <c r="B43" i="25" s="1"/>
  <c r="B17" i="24"/>
  <c r="F5" i="30" l="1"/>
  <c r="B9" i="29"/>
  <c r="B28" i="30" s="1"/>
  <c r="C26" i="30"/>
  <c r="D26" i="30" s="1"/>
  <c r="O16" i="30"/>
  <c r="P16" i="30" s="1"/>
  <c r="F22" i="30"/>
  <c r="G22" i="30" s="1"/>
  <c r="H22" i="30" s="1"/>
  <c r="B22" i="30"/>
  <c r="B19" i="30"/>
  <c r="C19" i="30" s="1"/>
  <c r="F19" i="30"/>
  <c r="G19" i="30" s="1"/>
  <c r="H19" i="30" s="1"/>
  <c r="G16" i="30"/>
  <c r="H16" i="30" s="1"/>
  <c r="K16" i="30"/>
  <c r="L16" i="30" s="1"/>
  <c r="C21" i="30"/>
  <c r="D21" i="30" s="1"/>
  <c r="N28" i="30"/>
  <c r="P28" i="30" s="1"/>
  <c r="J28" i="30"/>
  <c r="L28" i="30" s="1"/>
  <c r="C28" i="30"/>
  <c r="F28" i="30"/>
  <c r="B58" i="24"/>
  <c r="B8" i="30" s="1"/>
  <c r="L7" i="30"/>
  <c r="P7" i="30"/>
  <c r="B15" i="30"/>
  <c r="D15" i="30" s="1"/>
  <c r="B12" i="30"/>
  <c r="D12" i="30" s="1"/>
  <c r="B13" i="30"/>
  <c r="D13" i="30" s="1"/>
  <c r="J14" i="30"/>
  <c r="L14" i="30" s="1"/>
  <c r="J15" i="30"/>
  <c r="L15" i="30" s="1"/>
  <c r="N14" i="30"/>
  <c r="P14" i="30" s="1"/>
  <c r="N15" i="30"/>
  <c r="P15" i="30" s="1"/>
  <c r="F14" i="30"/>
  <c r="H14" i="30" s="1"/>
  <c r="F15" i="30"/>
  <c r="H15" i="30" s="1"/>
  <c r="J12" i="30"/>
  <c r="L12" i="30" s="1"/>
  <c r="J13" i="30"/>
  <c r="L13" i="30" s="1"/>
  <c r="N12" i="30"/>
  <c r="P12" i="30" s="1"/>
  <c r="N13" i="30"/>
  <c r="P13" i="30" s="1"/>
  <c r="F12" i="30"/>
  <c r="H12" i="30" s="1"/>
  <c r="F13" i="30"/>
  <c r="H13" i="30" s="1"/>
  <c r="F16" i="24"/>
  <c r="F8" i="30" s="1"/>
  <c r="F10" i="30"/>
  <c r="H10" i="30" s="1"/>
  <c r="F11" i="30"/>
  <c r="H11" i="30" s="1"/>
  <c r="J10" i="30"/>
  <c r="L10" i="30" s="1"/>
  <c r="J11" i="30"/>
  <c r="L11" i="30" s="1"/>
  <c r="B10" i="30"/>
  <c r="D10" i="30" s="1"/>
  <c r="B11" i="30"/>
  <c r="D11" i="30" s="1"/>
  <c r="N10" i="30"/>
  <c r="P10" i="30" s="1"/>
  <c r="N11" i="30"/>
  <c r="P11" i="30" s="1"/>
  <c r="N8" i="30"/>
  <c r="D25" i="30"/>
  <c r="J8" i="30"/>
  <c r="H28" i="30"/>
  <c r="N6" i="30"/>
  <c r="J6" i="30"/>
  <c r="F6" i="30"/>
  <c r="D23" i="30"/>
  <c r="J23" i="30"/>
  <c r="N23" i="30"/>
  <c r="F23" i="30"/>
  <c r="B6" i="30"/>
  <c r="B14" i="30"/>
  <c r="D14" i="30" s="1"/>
  <c r="D28" i="30" l="1"/>
  <c r="C6" i="30"/>
  <c r="D6" i="30" s="1"/>
  <c r="D19" i="30"/>
  <c r="C16" i="30"/>
  <c r="D16" i="30" s="1"/>
  <c r="G7" i="30"/>
  <c r="H7" i="30" s="1"/>
  <c r="G6" i="30"/>
  <c r="H6" i="30" s="1"/>
  <c r="C22" i="30"/>
  <c r="D22" i="30" s="1"/>
  <c r="K6" i="30"/>
  <c r="L6" i="30" s="1"/>
  <c r="O6" i="30"/>
  <c r="P6" i="30" s="1"/>
  <c r="G8" i="30"/>
  <c r="H8" i="30" s="1"/>
  <c r="K8" i="30"/>
  <c r="L8" i="30" s="1"/>
  <c r="G23" i="30"/>
  <c r="H23" i="30" s="1"/>
  <c r="K23" i="30"/>
  <c r="L23" i="30" s="1"/>
  <c r="O8" i="30"/>
  <c r="P8" i="30" s="1"/>
  <c r="F20" i="30"/>
  <c r="C20" i="30"/>
  <c r="D20" i="30" s="1"/>
  <c r="O23" i="30"/>
  <c r="P23" i="30" s="1"/>
  <c r="C8" i="30"/>
  <c r="D8" i="30" s="1"/>
  <c r="C5" i="30"/>
  <c r="C29" i="30" s="1"/>
  <c r="D29" i="30" s="1"/>
  <c r="J20" i="30"/>
  <c r="N20" i="30"/>
  <c r="B9" i="30"/>
  <c r="B4" i="30"/>
  <c r="G5" i="30" l="1"/>
  <c r="K5" i="30"/>
  <c r="O5" i="30"/>
  <c r="C4" i="30"/>
  <c r="D4" i="30" s="1"/>
  <c r="G20" i="30"/>
  <c r="H20" i="30" s="1"/>
  <c r="C9" i="30"/>
  <c r="D9" i="30" s="1"/>
  <c r="O20" i="30"/>
  <c r="P20" i="30" s="1"/>
  <c r="K20" i="30"/>
  <c r="L20" i="30" s="1"/>
  <c r="F17" i="30"/>
  <c r="J17" i="30"/>
  <c r="N17" i="30"/>
  <c r="D17" i="30"/>
  <c r="P5" i="30" l="1"/>
  <c r="N3" i="30" s="1"/>
  <c r="O3" i="30" s="1"/>
  <c r="P3" i="30" s="1"/>
  <c r="L5" i="30"/>
  <c r="J3" i="30" s="1"/>
  <c r="K3" i="30" s="1"/>
  <c r="L3" i="30" s="1"/>
  <c r="H5" i="30"/>
  <c r="F3" i="30" s="1"/>
  <c r="G3" i="30" s="1"/>
  <c r="H3" i="30" s="1"/>
  <c r="G17" i="30"/>
  <c r="H17" i="30" s="1"/>
  <c r="K17" i="30"/>
  <c r="L17" i="30" s="1"/>
  <c r="O17" i="30"/>
  <c r="P17" i="30" s="1"/>
  <c r="K29" i="30" l="1"/>
  <c r="L29" i="30" s="1"/>
  <c r="L33" i="30" s="1"/>
  <c r="K5" i="5" s="1"/>
  <c r="K148" i="5" s="1"/>
  <c r="G29" i="30"/>
  <c r="H29" i="30" s="1"/>
  <c r="H33" i="30" s="1"/>
  <c r="G5" i="5" s="1"/>
  <c r="C149" i="5" s="1"/>
  <c r="O29" i="30"/>
  <c r="P29" i="30" s="1"/>
  <c r="P33" i="30" s="1"/>
  <c r="O5" i="5" s="1"/>
  <c r="K149" i="5" s="1"/>
  <c r="D5" i="30"/>
  <c r="B3" i="30" s="1"/>
  <c r="B7" i="30"/>
  <c r="C7" i="30" l="1"/>
  <c r="D7" i="30" s="1"/>
  <c r="C3" i="30"/>
  <c r="D3" i="30" s="1"/>
  <c r="D33" i="30" l="1"/>
  <c r="C5" i="5" s="1"/>
  <c r="C148" i="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Ivan Wang(王仁毅)</author>
    <author>作者</author>
  </authors>
  <commentList>
    <comment ref="C8" authorId="0" shapeId="0" xr:uid="{00000000-0006-0000-0100-000001000000}">
      <text>
        <r>
          <rPr>
            <b/>
            <sz val="9"/>
            <color indexed="81"/>
            <rFont val="Tahoma"/>
            <family val="2"/>
          </rPr>
          <t>0: disable
1: Enable in DDR0
2: Enable in DDR1</t>
        </r>
      </text>
    </comment>
    <comment ref="C9" authorId="1" shapeId="0" xr:uid="{00000000-0006-0000-0100-000002000000}">
      <text>
        <r>
          <rPr>
            <b/>
            <sz val="9"/>
            <color indexed="81"/>
            <rFont val="Tahoma"/>
            <family val="2"/>
          </rPr>
          <t xml:space="preserve">0:no VIN capture support
1:liveview capture (enable VIN/capture)
2:liveview capture buffer shared with decode output buffers (to reduce memory usage)
</t>
        </r>
      </text>
    </comment>
    <comment ref="B10" authorId="0" shapeId="0" xr:uid="{00000000-0006-0000-0100-000003000000}">
      <text>
        <r>
          <rPr>
            <b/>
            <sz val="9"/>
            <color indexed="81"/>
            <rFont val="Tahoma"/>
            <family val="2"/>
          </rPr>
          <t>HD_FB_FMT fb_fmt;
fb_fmt.fmt = HD_VIDEO_PXLFMT_YUV420;  //HD_VIDEO_PXLFMT_YUV420_NVX3
hd_videoout_set(*ctrl_path, HD_VIDEOOUT_PARAM_FB_FMT, &amp;fb_fmt);
HD_VIDEOPROC_OUT proc_out;
proc_out.pxlfmt = HD_VIDEO_PXLFMT_YUV420;
hd_videoproc_set(videoproc_path, HD_VIDEOPROC_PARAM_OUT, &amp;proc_out);</t>
        </r>
      </text>
    </comment>
    <comment ref="C10" authorId="1" shapeId="0" xr:uid="{00000000-0006-0000-0100-000004000000}">
      <text>
        <r>
          <rPr>
            <b/>
            <sz val="9"/>
            <color indexed="81"/>
            <rFont val="Tahoma"/>
            <family val="2"/>
          </rPr>
          <t>-Pixel  Bytes-
1.5: YUV420 (HD_VIDEO_PXLFMT_YUV420)
2: YUV422 (HD_VIDEO_PXLFMT_YUV422_ONE)
1.125: YUV420 SCE compression (need 32 align)
              (HD_VIDEO_PXLFMT_YUV420_NVX3)</t>
        </r>
      </text>
    </comment>
    <comment ref="B11" authorId="0" shapeId="0" xr:uid="{00000000-0006-0000-0100-000005000000}">
      <text>
        <r>
          <rPr>
            <b/>
            <sz val="9"/>
            <color indexed="81"/>
            <rFont val="Tahoma"/>
            <family val="2"/>
          </rPr>
          <t>HD_VIDEOOUT_DEVNVR_CONFIG *devnvr_cfg;
devnvr_cfg-&gt;plane[0].max_w = 1920;
devnvr_cfg-&gt;plane[0].max_h = 1080;
hd_videoout_set(lcd_ctrl_path, HD_VIDEOOUT_PARAM_DEV_CONFIG, devnvr_cfg);</t>
        </r>
      </text>
    </comment>
    <comment ref="B12" authorId="0" shapeId="0" xr:uid="{00000000-0006-0000-0100-000006000000}">
      <text>
        <r>
          <rPr>
            <b/>
            <sz val="9"/>
            <color indexed="81"/>
            <rFont val="Tahoma"/>
            <family val="2"/>
          </rPr>
          <t>HD_VIDEOOUT_DEVNVR_CONFIG *devnvr_cfg;
devnvr_cfg-&gt;plane[0].max_w = 1920;
devnvr_cfg-&gt;plane[0].max_h = 1080;
hd_videoout_set(lcd_ctrl_path, HD_VIDEOOUT_PARAM_DEV_CONFIG, devnvr_cfg);</t>
        </r>
      </text>
    </comment>
    <comment ref="B13" authorId="0" shapeId="0" xr:uid="{00000000-0006-0000-0100-000007000000}">
      <text>
        <r>
          <rPr>
            <b/>
            <sz val="9"/>
            <color indexed="81"/>
            <rFont val="Tahoma"/>
            <family val="2"/>
          </rPr>
          <t>HD_VIDEOPROC_DEV_CONFIG vpe_config;
vpe_config.data_pool[0].counts = HD_VIDEOPROC_SET_COUNT(4, 0);
hd_videoproc_set(videoproc_path, HD_VIDEOPROC_PARAM_DEV_CONFIG, &amp;vpe_config);</t>
        </r>
      </text>
    </comment>
    <comment ref="C13" authorId="1" shapeId="0" xr:uid="{00000000-0006-0000-0100-000008000000}">
      <text>
        <r>
          <rPr>
            <b/>
            <sz val="9"/>
            <color indexed="81"/>
            <rFont val="Tahoma"/>
            <family val="2"/>
          </rPr>
          <t>Display buffer counts, buffer count is 3~4</t>
        </r>
      </text>
    </comment>
    <comment ref="B14" authorId="0" shapeId="0" xr:uid="{00000000-0006-0000-0100-000009000000}">
      <text>
        <r>
          <rPr>
            <b/>
            <sz val="9"/>
            <color indexed="81"/>
            <rFont val="Tahoma"/>
            <family val="2"/>
          </rPr>
          <t>HD_FB_FMT fb_fmt;
fb_fmt.fmt = HD_VIDEO_PXLFMT_ARGB1555_RLE; //HD_VIDEO_PXLFMT_ARGB1555
hd_videoout_set(*ctrl_path, HD_VIDEOOUT_PARAM_FB_FMT, &amp;fb_fmt);</t>
        </r>
      </text>
    </comment>
    <comment ref="C14" authorId="1" shapeId="0" xr:uid="{00000000-0006-0000-0100-00000A000000}">
      <text>
        <r>
          <rPr>
            <b/>
            <sz val="9"/>
            <color indexed="81"/>
            <rFont val="Tahoma"/>
            <family val="2"/>
          </rPr>
          <t>2: ARGB1555 (HD_VIDEO_PXLFMT_ARGB1555)
4: ARGB8888 (HD_VIDEO_PXLFMT_ARGB8888)</t>
        </r>
      </text>
    </comment>
    <comment ref="B15" authorId="0" shapeId="0" xr:uid="{00000000-0006-0000-0100-00000B000000}">
      <text>
        <r>
          <rPr>
            <b/>
            <sz val="9"/>
            <color indexed="81"/>
            <rFont val="Tahoma"/>
            <family val="2"/>
          </rPr>
          <t>HD_VIDEOOUT_DEVNVR_CONFIG *devnvr_cfg;
devnvr_cfg-&gt;plane[1].max_w = 1920;
devnvr_cfg-&gt;plane[1].max_h = 1080;
hd_videoout_set(lcd_ctrl_path, HD_VIDEOOUT_PARAM_DEV_CONFIG, devnvr_cfg);</t>
        </r>
      </text>
    </comment>
    <comment ref="B16" authorId="0" shapeId="0" xr:uid="{00000000-0006-0000-0100-00000C000000}">
      <text>
        <r>
          <rPr>
            <b/>
            <sz val="9"/>
            <color indexed="81"/>
            <rFont val="Tahoma"/>
            <family val="2"/>
          </rPr>
          <t>HD_VIDEOOUT_DEVNVR_CONFIG *devnvr_cfg;
devnvr_cfg-&gt;plane[1].max_w = 1920;
devnvr_cfg-&gt;plane[1].max_h = 1080;
hd_videoout_set(lcd_ctrl_path, HD_VIDEOOUT_PARAM_DEV_CONFIG, devnvr_cfg);</t>
        </r>
      </text>
    </comment>
    <comment ref="B17" authorId="0" shapeId="0" xr:uid="{00000000-0006-0000-0100-00000D000000}">
      <text>
        <r>
          <rPr>
            <b/>
            <sz val="9"/>
            <color indexed="81"/>
            <rFont val="Tahoma"/>
            <family val="2"/>
          </rPr>
          <t>//GUI compression support to reduce bandwidth
HD_VIDEOOUT_DEVNVR_CONFIG *devnvr_cfg;
devnvr_cfg-&gt;plane[1].gui_rld_enable = 1;
devnvr_cfg-&gt;plane[1].rle_buf_paddr = addr;
devnvr_cfg-&gt;plane[1].rle_buf_len = len;
hd_videoout_set(lcd_ctrl_path, HD_VIDEOOUT_PARAM_DEV_CONFIG, devnvr_cfg);
HD_FB_FMT fb_fmt;
fb_fmt.fmt = HD_VIDEO_PXLFMT_ARGB1555_RLE;
hd_videoout_set(*ctrl_path, HD_VIDEOOUT_PARAM_FB_FMT, &amp;fb_fmt);</t>
        </r>
      </text>
    </comment>
    <comment ref="B18" authorId="0" shapeId="0" xr:uid="{00000000-0006-0000-0100-00000E000000}">
      <text>
        <r>
          <rPr>
            <b/>
            <sz val="9"/>
            <color indexed="81"/>
            <rFont val="Tahoma"/>
            <family val="2"/>
          </rPr>
          <t>HD_FB_ENABLE fb_cfg;
fb_cfg.fb_id = 2; //fb2 id is 2
fb_cfg.enable = 1;
hd_videoout_set(lcd_ctrl_path, HD_VIDEOOUT_PARAM_FB_ENABLE, &amp;fb_cfg);</t>
        </r>
      </text>
    </comment>
    <comment ref="B19" authorId="0" shapeId="0" xr:uid="{00000000-0006-0000-0100-00000F000000}">
      <text>
        <r>
          <rPr>
            <b/>
            <sz val="9"/>
            <color indexed="81"/>
            <rFont val="Tahoma"/>
            <family val="2"/>
          </rPr>
          <t>//Liveview videocapture
HD_VIDEOCAP_PATH_CONFIG cap_config;
cap_config.data_pool[0].counts = HD_VIDEOCAP_SET_COUNT(5, 0);
hd_videocap_set(videocap_path, HD_VIDEOCAP_PARAM_PATH_CONFIG, &amp;cap_config);</t>
        </r>
      </text>
    </comment>
    <comment ref="C19" authorId="1" shapeId="0" xr:uid="{00000000-0006-0000-0100-000010000000}">
      <text>
        <r>
          <rPr>
            <b/>
            <sz val="9"/>
            <color indexed="81"/>
            <rFont val="Tahoma"/>
            <family val="2"/>
          </rPr>
          <t>Liveview capture buffer counts 4~5</t>
        </r>
      </text>
    </comment>
    <comment ref="B20" authorId="0" shapeId="0" xr:uid="{00000000-0006-0000-0100-000011000000}">
      <text>
        <r>
          <rPr>
            <b/>
            <sz val="9"/>
            <color indexed="81"/>
            <rFont val="Tahoma"/>
            <family val="2"/>
          </rPr>
          <t>//Liveview videocapture
HD_VIDEOCAP_OUT cap_out;
cap_out.pxlfmt = HD_VIDEO_PXLFMT_YUV420_NVX3; //YUV420 SCE
hd_videocap_set(videocap_path, HD_VIDEOCAP_PARAM_OUT, &amp;cap_out);</t>
        </r>
      </text>
    </comment>
    <comment ref="C20" authorId="1" shapeId="0" xr:uid="{00000000-0006-0000-0100-000012000000}">
      <text>
        <r>
          <rPr>
            <b/>
            <sz val="9"/>
            <color indexed="81"/>
            <rFont val="Tahoma"/>
            <family val="2"/>
          </rPr>
          <t>-Pixel  Bytes-
1.5: YUV420 (HD_VIDEO_PXLFMT_YUV420)
2: YUV422 (HD_VIDEO_PXLFMT_YUV422_ONE)
1.125: YUV420 SCE compression (need 32 align)
              (HD_VIDEO_PXLFMT_YUV420_NVX3)</t>
        </r>
      </text>
    </comment>
    <comment ref="B21" authorId="0" shapeId="0" xr:uid="{00000000-0006-0000-0100-000013000000}">
      <text>
        <r>
          <rPr>
            <b/>
            <sz val="9"/>
            <color indexed="81"/>
            <rFont val="Tahoma"/>
            <family val="2"/>
          </rPr>
          <t>HD_VIDEOPROC_CTRL ctrl;
ctrl.func = HD_VIDEOPROC_FUNC_DI;
hd_videoproc_set(videproc_path, HD_VIDEOPROC_PARAM_CTRL, &amp;ctrl);</t>
        </r>
      </text>
    </comment>
    <comment ref="B22" authorId="0" shapeId="0" xr:uid="{00000000-0006-0000-0100-000014000000}">
      <text>
        <r>
          <rPr>
            <b/>
            <sz val="9"/>
            <color indexed="81"/>
            <rFont val="Tahoma"/>
            <family val="2"/>
          </rPr>
          <t xml:space="preserve">HD_VIDEOCAP_PATH_CONFIG cap_config;
cap_config.data_pool[0].counts = HD_VIDEOCAP_SET_COUNT(2, 0);
hd_videocap_set(videocap_path, HD_VIDEOCAP_PARAM_PATH_CONFIG, &amp;cap_config);
HD_VIDEOCAP_OUT cap_out;
cap_out.pxlfmt = HD_VIDEO_PXLFMT_YUV422_ONE; //DI needs YUV422
hd_videocap_set(videocap_path, HD_VIDEOCAP_PARAM_OUT, &amp;cap_out);
</t>
        </r>
      </text>
    </comment>
    <comment ref="C23" authorId="0" shapeId="0" xr:uid="{00000000-0006-0000-0100-000015000000}">
      <text>
        <r>
          <rPr>
            <b/>
            <sz val="9"/>
            <color indexed="81"/>
            <rFont val="Tahoma"/>
            <family val="2"/>
          </rPr>
          <t>0: disable
1: Enable in DDR0
2: Enable in DDR1</t>
        </r>
      </text>
    </comment>
    <comment ref="C24" authorId="1" shapeId="0" xr:uid="{00000000-0006-0000-0100-000016000000}">
      <text>
        <r>
          <rPr>
            <b/>
            <sz val="9"/>
            <color indexed="81"/>
            <rFont val="Tahoma"/>
            <family val="2"/>
          </rPr>
          <t xml:space="preserve">0:no VIN capture support
1:liveview capture (enable VIN/capture)
2:liveview capture buffer shared with decode output buffers (to reduce memory usage)
</t>
        </r>
      </text>
    </comment>
    <comment ref="B25" authorId="0" shapeId="0" xr:uid="{00000000-0006-0000-0100-000017000000}">
      <text>
        <r>
          <rPr>
            <b/>
            <sz val="9"/>
            <color indexed="81"/>
            <rFont val="Tahoma"/>
            <family val="2"/>
          </rPr>
          <t>HD_FB_FMT fb_fmt;
fb_fmt.fmt = HD_VIDEO_PXLFMT_YUV420;  //HD_VIDEO_PXLFMT_YUV420_NVX3
hd_videoout_set(*ctrl_path, HD_VIDEOOUT_PARAM_FB_FMT, &amp;fb_fmt);
HD_VIDEOPROC_OUT proc_out;
proc_out.pxlfmt = HD_VIDEO_PXLFMT_YUV420;
hd_videoproc_set(videoproc_path, HD_VIDEOPROC_PARAM_OUT, &amp;proc_out);</t>
        </r>
      </text>
    </comment>
    <comment ref="C25" authorId="1" shapeId="0" xr:uid="{00000000-0006-0000-0100-000018000000}">
      <text>
        <r>
          <rPr>
            <b/>
            <sz val="9"/>
            <color indexed="81"/>
            <rFont val="Tahoma"/>
            <family val="2"/>
          </rPr>
          <t>-Pixel  Bytes-
1.5: YUV420 (HD_VIDEO_PXLFMT_YUV420)
2: YUV422 (HD_VIDEO_PXLFMT_YUV422_ONE)
1.125: YUV420 SCE compression (need 32 align)
              (HD_VIDEO_PXLFMT_YUV420_NVX3)</t>
        </r>
      </text>
    </comment>
    <comment ref="B26" authorId="0" shapeId="0" xr:uid="{00000000-0006-0000-0100-000019000000}">
      <text>
        <r>
          <rPr>
            <b/>
            <sz val="9"/>
            <color indexed="81"/>
            <rFont val="Tahoma"/>
            <family val="2"/>
          </rPr>
          <t>HD_VIDEOOUT_DEVNVR_CONFIG *devnvr_cfg;
devnvr_cfg-&gt;plane[0].max_w = 1920;
devnvr_cfg-&gt;plane[0].max_h = 1080;
hd_videoout_set(lcd_ctrl_path, HD_VIDEOOUT_PARAM_DEV_CONFIG, devnvr_cfg);</t>
        </r>
      </text>
    </comment>
    <comment ref="B27" authorId="0" shapeId="0" xr:uid="{00000000-0006-0000-0100-00001A000000}">
      <text>
        <r>
          <rPr>
            <b/>
            <sz val="9"/>
            <color indexed="81"/>
            <rFont val="Tahoma"/>
            <family val="2"/>
          </rPr>
          <t>HD_VIDEOOUT_DEVNVR_CONFIG *devnvr_cfg;
devnvr_cfg-&gt;plane[0].max_w = 1920;
devnvr_cfg-&gt;plane[0].max_h = 1080;
hd_videoout_set(lcd_ctrl_path, HD_VIDEOOUT_PARAM_DEV_CONFIG, devnvr_cfg);</t>
        </r>
      </text>
    </comment>
    <comment ref="B28" authorId="0" shapeId="0" xr:uid="{00000000-0006-0000-0100-00001B000000}">
      <text>
        <r>
          <rPr>
            <b/>
            <sz val="9"/>
            <color indexed="81"/>
            <rFont val="Tahoma"/>
            <family val="2"/>
          </rPr>
          <t>HD_VIDEOPROC_DEV_CONFIG vpe_config;
vpe_config.data_pool[0].counts = HD_VIDEOPROC_SET_COUNT(3, 0);
hd_videoproc_set(videoproc_path, HD_VIDEOPROC_PARAM_DEV_CONFIG, &amp;vpe_config);</t>
        </r>
      </text>
    </comment>
    <comment ref="C28" authorId="1" shapeId="0" xr:uid="{00000000-0006-0000-0100-00001C000000}">
      <text>
        <r>
          <rPr>
            <b/>
            <sz val="9"/>
            <color indexed="81"/>
            <rFont val="Tahoma"/>
            <family val="2"/>
          </rPr>
          <t>Display buffer counts, minimal number is 3</t>
        </r>
      </text>
    </comment>
    <comment ref="B29" authorId="0" shapeId="0" xr:uid="{00000000-0006-0000-0100-00001D000000}">
      <text>
        <r>
          <rPr>
            <b/>
            <sz val="9"/>
            <color indexed="81"/>
            <rFont val="Tahoma"/>
            <family val="2"/>
          </rPr>
          <t>HD_FB_FMT fb_fmt;
fb_fmt.fmt = HD_VIDEO_PXLFMT_ARGB1555_RLE; //HD_VIDEO_PXLFMT_ARGB1555
hd_videoout_set(*ctrl_path, HD_VIDEOOUT_PARAM_FB_FMT, &amp;fb_fmt);</t>
        </r>
      </text>
    </comment>
    <comment ref="C29" authorId="1" shapeId="0" xr:uid="{00000000-0006-0000-0100-00001E000000}">
      <text>
        <r>
          <rPr>
            <b/>
            <sz val="9"/>
            <color indexed="81"/>
            <rFont val="Tahoma"/>
            <family val="2"/>
          </rPr>
          <t>2: ARGB1555 (HD_VIDEO_PXLFMT_ARGB1555)
4: ARGB8888 (HD_VIDEO_PXLFMT_ARGB8888)</t>
        </r>
      </text>
    </comment>
    <comment ref="B30" authorId="0" shapeId="0" xr:uid="{00000000-0006-0000-0100-00001F000000}">
      <text>
        <r>
          <rPr>
            <b/>
            <sz val="9"/>
            <color indexed="81"/>
            <rFont val="Tahoma"/>
            <family val="2"/>
          </rPr>
          <t>HD_VIDEOOUT_DEVNVR_CONFIG *devnvr_cfg;
devnvr_cfg-&gt;plane[1].max_w = 1920;
devnvr_cfg-&gt;plane[1].max_h = 1080;
hd_videoout_set(lcd_ctrl_path, HD_VIDEOOUT_PARAM_DEV_CONFIG, devnvr_cfg);</t>
        </r>
      </text>
    </comment>
    <comment ref="B31" authorId="0" shapeId="0" xr:uid="{00000000-0006-0000-0100-000020000000}">
      <text>
        <r>
          <rPr>
            <b/>
            <sz val="9"/>
            <color indexed="81"/>
            <rFont val="Tahoma"/>
            <family val="2"/>
          </rPr>
          <t>HD_VIDEOOUT_DEVNVR_CONFIG *devnvr_cfg;
devnvr_cfg-&gt;plane[1].max_w = 1920;
devnvr_cfg-&gt;plane[1].max_h = 1080;
hd_videoout_set(lcd_ctrl_path, HD_VIDEOOUT_PARAM_DEV_CONFIG, devnvr_cfg);</t>
        </r>
      </text>
    </comment>
    <comment ref="B32" authorId="0" shapeId="0" xr:uid="{00000000-0006-0000-0100-000021000000}">
      <text>
        <r>
          <rPr>
            <b/>
            <sz val="9"/>
            <color indexed="81"/>
            <rFont val="Tahoma"/>
            <family val="2"/>
          </rPr>
          <t>//IC Spec may not support GUI compression
HD_FB_FMT fb_fmt;
fb_fmt.fmt = HD_VIDEO_PXLFMT_ARGB1555; //no support RLE
hd_videoout_set(*ctrl_path, HD_VIDEOOUT_PARAM_FB_FMT, &amp;fb_fmt);</t>
        </r>
      </text>
    </comment>
    <comment ref="B33" authorId="0" shapeId="0" xr:uid="{00000000-0006-0000-0100-000022000000}">
      <text>
        <r>
          <rPr>
            <b/>
            <sz val="9"/>
            <color indexed="81"/>
            <rFont val="Tahoma"/>
            <family val="2"/>
          </rPr>
          <t>IC spec may not support fb2</t>
        </r>
      </text>
    </comment>
    <comment ref="B34" authorId="0" shapeId="0" xr:uid="{00000000-0006-0000-0100-000023000000}">
      <text>
        <r>
          <rPr>
            <b/>
            <sz val="9"/>
            <color indexed="81"/>
            <rFont val="Tahoma"/>
            <family val="2"/>
          </rPr>
          <t>//Liveview videocapture
HD_VIDEOCAP_PATH_CONFIG cap_config;
cap_config.data_pool[0].counts = HD_VIDEOCAP_SET_COUNT(4, 0);
hd_videocap_set(videocap_path, HD_VIDEOCAP_PARAM_PATH_CONFIG, &amp;cap_config);</t>
        </r>
      </text>
    </comment>
    <comment ref="C34" authorId="1" shapeId="0" xr:uid="{00000000-0006-0000-0100-000024000000}">
      <text>
        <r>
          <rPr>
            <b/>
            <sz val="9"/>
            <color indexed="81"/>
            <rFont val="Tahoma"/>
            <family val="2"/>
          </rPr>
          <t>Liveview capture buffer counts, minimal is 4 for realtime display</t>
        </r>
      </text>
    </comment>
    <comment ref="B35" authorId="0" shapeId="0" xr:uid="{00000000-0006-0000-0100-000025000000}">
      <text>
        <r>
          <rPr>
            <b/>
            <sz val="9"/>
            <color indexed="81"/>
            <rFont val="Tahoma"/>
            <family val="2"/>
          </rPr>
          <t>//Liveview videocapture
HD_VIDEOCAP_OUT cap_out;
cap_out.pxlfmt = HD_VIDEO_PXLFMT_YUV420_NVX3; //YUV420 SCE
hd_videocap_set(videocap_path, HD_VIDEOCAP_PARAM_OUT, &amp;cap_out);</t>
        </r>
      </text>
    </comment>
    <comment ref="C35" authorId="1" shapeId="0" xr:uid="{00000000-0006-0000-0100-000026000000}">
      <text>
        <r>
          <rPr>
            <b/>
            <sz val="9"/>
            <color indexed="81"/>
            <rFont val="Tahoma"/>
            <family val="2"/>
          </rPr>
          <t>-Pixel  Bytes-
1.5: YUV420 (HD_VIDEO_PXLFMT_YUV420)
2: YUV422 (HD_VIDEO_PXLFMT_YUV422_ONE)
1.125: YUV420 SCE compression (need 32 align)
              (HD_VIDEO_PXLFMT_YUV420_NVX3)</t>
        </r>
      </text>
    </comment>
    <comment ref="B36" authorId="0" shapeId="0" xr:uid="{00000000-0006-0000-0100-000027000000}">
      <text>
        <r>
          <rPr>
            <b/>
            <sz val="9"/>
            <color indexed="81"/>
            <rFont val="Tahoma"/>
            <family val="2"/>
          </rPr>
          <t>HD_VIDEOPROC_CTRL ctrl;
ctrl.func = HD_VIDEOPROC_FUNC_DI;
hd_videoproc_set(videproc_path, HD_VIDEOPROC_PARAM_CTRL, &amp;ctrl);</t>
        </r>
      </text>
    </comment>
    <comment ref="B37" authorId="0" shapeId="0" xr:uid="{00000000-0006-0000-0100-000028000000}">
      <text>
        <r>
          <rPr>
            <b/>
            <sz val="9"/>
            <color indexed="81"/>
            <rFont val="Tahoma"/>
            <family val="2"/>
          </rPr>
          <t xml:space="preserve">HD_VIDEOCAP_PATH_CONFIG cap_config;
cap_config.data_pool[0].counts = HD_VIDEOCAP_SET_COUNT(2, 0);
hd_videocap_set(videocap_path, HD_VIDEOCAP_PARAM_PATH_CONFIG, &amp;cap_config);
HD_VIDEOCAP_OUT cap_out;
cap_out.pxlfmt = HD_VIDEO_PXLFMT_YUV422_ONE; //DI needs YUV422
hd_videocap_set(videocap_path, HD_VIDEOCAP_PARAM_OUT, &amp;cap_out);
</t>
        </r>
      </text>
    </comment>
    <comment ref="C38" authorId="0" shapeId="0" xr:uid="{00000000-0006-0000-0100-000029000000}">
      <text>
        <r>
          <rPr>
            <b/>
            <sz val="9"/>
            <color indexed="81"/>
            <rFont val="Tahoma"/>
            <family val="2"/>
          </rPr>
          <t>0: disable
1: Enable in DDR0
2: Enable in DDR1</t>
        </r>
      </text>
    </comment>
    <comment ref="C39" authorId="1" shapeId="0" xr:uid="{00000000-0006-0000-0100-00002A000000}">
      <text>
        <r>
          <rPr>
            <b/>
            <sz val="9"/>
            <color indexed="81"/>
            <rFont val="Tahoma"/>
            <family val="2"/>
          </rPr>
          <t xml:space="preserve">0:no VIN capture support
1:liveview capture (enable VIN/capture)
2:liveview capture buffer shared with decode output buffers (to reduce memory usage)
</t>
        </r>
      </text>
    </comment>
    <comment ref="B40" authorId="0" shapeId="0" xr:uid="{00000000-0006-0000-0100-00002B000000}">
      <text>
        <r>
          <rPr>
            <b/>
            <sz val="9"/>
            <color indexed="81"/>
            <rFont val="Tahoma"/>
            <family val="2"/>
          </rPr>
          <t>/* Chip Spec maybe support YUV422 only */
HD_FB_FMT fb_fmt;
fb_fmt.fmt = HD_VIDEO_PXLFMT_YUV420;  //HD_VIDEO_PXLFMT_YUV420_NVX3
hd_videoout_set(*ctrl_path, HD_VIDEOOUT_PARAM_FB_FMT, &amp;fb_fmt);
HD_VIDEOPROC_OUT proc_out;
proc_out.pxlfmt = HD_VIDEO_PXLFMT_YUV420;
hd_videoproc_set(videoproc_path, HD_VIDEOPROC_PARAM_OUT, &amp;proc_out);</t>
        </r>
      </text>
    </comment>
    <comment ref="C40" authorId="1" shapeId="0" xr:uid="{00000000-0006-0000-0100-00002C000000}">
      <text>
        <r>
          <rPr>
            <b/>
            <sz val="9"/>
            <color indexed="81"/>
            <rFont val="Tahoma"/>
            <family val="2"/>
          </rPr>
          <t>-Pixel  Bytes-
1.5: YUV420 (HD_VIDEO_PXLFMT_YUV420)
2: YUV422 (HD_VIDEO_PXLFMT_YUV422_ONE)
1.125: YUV420 SCE compression (need 32 align)
              (HD_VIDEO_PXLFMT_YUV420_NVX3)</t>
        </r>
      </text>
    </comment>
    <comment ref="B41" authorId="0" shapeId="0" xr:uid="{00000000-0006-0000-0100-00002D000000}">
      <text>
        <r>
          <rPr>
            <b/>
            <sz val="9"/>
            <color indexed="81"/>
            <rFont val="Tahoma"/>
            <family val="2"/>
          </rPr>
          <t>HD_VIDEOOUT_DEVNVR_CONFIG *devnvr_cfg;
devnvr_cfg-&gt;plane[0].max_w = 1920;
devnvr_cfg-&gt;plane[0].max_h = 1080;
hd_videoout_set(lcd_ctrl_path, HD_VIDEOOUT_PARAM_DEV_CONFIG, devnvr_cfg);</t>
        </r>
      </text>
    </comment>
    <comment ref="B42" authorId="0" shapeId="0" xr:uid="{00000000-0006-0000-0100-00002E000000}">
      <text>
        <r>
          <rPr>
            <b/>
            <sz val="9"/>
            <color indexed="81"/>
            <rFont val="Tahoma"/>
            <family val="2"/>
          </rPr>
          <t>HD_VIDEOOUT_DEVNVR_CONFIG *devnvr_cfg;
devnvr_cfg-&gt;plane[0].max_w = 1920;
devnvr_cfg-&gt;plane[0].max_h = 1080;
hd_videoout_set(lcd_ctrl_path, HD_VIDEOOUT_PARAM_DEV_CONFIG, devnvr_cfg);</t>
        </r>
      </text>
    </comment>
    <comment ref="B43" authorId="0" shapeId="0" xr:uid="{00000000-0006-0000-0100-00002F000000}">
      <text>
        <r>
          <rPr>
            <b/>
            <sz val="9"/>
            <color indexed="81"/>
            <rFont val="Tahoma"/>
            <family val="2"/>
          </rPr>
          <t>HD_VIDEOPROC_DEV_CONFIG vpe_config;
vpe_config.data_pool[0].counts = HD_VIDEOPROC_SET_COUNT(3, 0);
hd_videoproc_set(videoproc_path, HD_VIDEOPROC_PARAM_DEV_CONFIG, &amp;vpe_config);</t>
        </r>
      </text>
    </comment>
    <comment ref="C43" authorId="1" shapeId="0" xr:uid="{00000000-0006-0000-0100-000030000000}">
      <text>
        <r>
          <rPr>
            <b/>
            <sz val="9"/>
            <color indexed="81"/>
            <rFont val="Tahoma"/>
            <family val="2"/>
          </rPr>
          <t>Display buffer counts, minimal number is 3</t>
        </r>
      </text>
    </comment>
    <comment ref="B44" authorId="0" shapeId="0" xr:uid="{00000000-0006-0000-0100-000031000000}">
      <text>
        <r>
          <rPr>
            <b/>
            <sz val="9"/>
            <color indexed="81"/>
            <rFont val="Tahoma"/>
            <family val="2"/>
          </rPr>
          <t>HD_FB_FMT fb_fmt;
fb_fmt.fmt = HD_VIDEO_PXLFMT_ARGB1555_RLE; //HD_VIDEO_PXLFMT_ARGB1555
hd_videoout_set(*ctrl_path, HD_VIDEOOUT_PARAM_FB_FMT, &amp;fb_fmt);</t>
        </r>
      </text>
    </comment>
    <comment ref="C44" authorId="1" shapeId="0" xr:uid="{00000000-0006-0000-0100-000032000000}">
      <text>
        <r>
          <rPr>
            <b/>
            <sz val="9"/>
            <color indexed="81"/>
            <rFont val="Tahoma"/>
            <family val="2"/>
          </rPr>
          <t>2: ARGB1555 (HD_VIDEO_PXLFMT_ARGB1555)
4: ARGB8888 (HD_VIDEO_PXLFMT_ARGB8888)</t>
        </r>
      </text>
    </comment>
    <comment ref="B45" authorId="0" shapeId="0" xr:uid="{00000000-0006-0000-0100-000033000000}">
      <text>
        <r>
          <rPr>
            <b/>
            <sz val="9"/>
            <color indexed="81"/>
            <rFont val="Tahoma"/>
            <family val="2"/>
          </rPr>
          <t>HD_VIDEOOUT_DEVNVR_CONFIG *devnvr_cfg;
devnvr_cfg-&gt;plane[1].max_w = 1920;
devnvr_cfg-&gt;plane[1].max_h = 1080;
hd_videoout_set(lcd_ctrl_path, HD_VIDEOOUT_PARAM_DEV_CONFIG, devnvr_cfg);</t>
        </r>
      </text>
    </comment>
    <comment ref="B46" authorId="0" shapeId="0" xr:uid="{00000000-0006-0000-0100-000034000000}">
      <text>
        <r>
          <rPr>
            <b/>
            <sz val="9"/>
            <color indexed="81"/>
            <rFont val="Tahoma"/>
            <family val="2"/>
          </rPr>
          <t>HD_VIDEOOUT_DEVNVR_CONFIG *devnvr_cfg;
devnvr_cfg-&gt;plane[1].max_w = 1920;
devnvr_cfg-&gt;plane[1].max_h = 1080;
hd_videoout_set(lcd_ctrl_path, HD_VIDEOOUT_PARAM_DEV_CONFIG, devnvr_cfg);</t>
        </r>
      </text>
    </comment>
    <comment ref="B47" authorId="0" shapeId="0" xr:uid="{00000000-0006-0000-0100-000035000000}">
      <text>
        <r>
          <rPr>
            <b/>
            <sz val="9"/>
            <color indexed="81"/>
            <rFont val="Tahoma"/>
            <family val="2"/>
          </rPr>
          <t>//IC Spec may not support GUI compression
HD_FB_FMT fb_fmt;
fb_fmt.fmt = HD_VIDEO_PXLFMT_ARGB1555; //no support RLE
hd_videoout_set(*ctrl_path, HD_VIDEOOUT_PARAM_FB_FMT, &amp;fb_fmt);</t>
        </r>
      </text>
    </comment>
    <comment ref="B48" authorId="0" shapeId="0" xr:uid="{00000000-0006-0000-0100-000036000000}">
      <text>
        <r>
          <rPr>
            <b/>
            <sz val="9"/>
            <color indexed="81"/>
            <rFont val="Tahoma"/>
            <family val="2"/>
          </rPr>
          <t>IC spec may not support fb2</t>
        </r>
      </text>
    </comment>
    <comment ref="B49" authorId="0" shapeId="0" xr:uid="{00000000-0006-0000-0100-000037000000}">
      <text>
        <r>
          <rPr>
            <b/>
            <sz val="9"/>
            <color indexed="81"/>
            <rFont val="Tahoma"/>
            <family val="2"/>
          </rPr>
          <t>//Liveview videocapture
HD_VIDEOCAP_PATH_CONFIG cap_config;
cap_config.data_pool[0].counts = HD_VIDEOCAP_SET_COUNT(4, 0);
hd_videocap_set(videocap_path, HD_VIDEOCAP_PARAM_PATH_CONFIG, &amp;cap_config);</t>
        </r>
      </text>
    </comment>
    <comment ref="C49" authorId="1" shapeId="0" xr:uid="{00000000-0006-0000-0100-000038000000}">
      <text>
        <r>
          <rPr>
            <b/>
            <sz val="9"/>
            <color indexed="81"/>
            <rFont val="Tahoma"/>
            <family val="2"/>
          </rPr>
          <t>Liveview capture buffer counts, minimal is 4 for realtime display</t>
        </r>
      </text>
    </comment>
    <comment ref="B50" authorId="0" shapeId="0" xr:uid="{00000000-0006-0000-0100-000039000000}">
      <text>
        <r>
          <rPr>
            <b/>
            <sz val="9"/>
            <color indexed="81"/>
            <rFont val="Tahoma"/>
            <family val="2"/>
          </rPr>
          <t>//Liveview videocapture
HD_VIDEOCAP_OUT cap_out;
cap_out.pxlfmt = HD_VIDEO_PXLFMT_YUV420_NVX3; //YUV420 SCE
hd_videocap_set(videocap_path, HD_VIDEOCAP_PARAM_OUT, &amp;cap_out);</t>
        </r>
      </text>
    </comment>
    <comment ref="C50" authorId="1" shapeId="0" xr:uid="{00000000-0006-0000-0100-00003A000000}">
      <text>
        <r>
          <rPr>
            <b/>
            <sz val="9"/>
            <color indexed="81"/>
            <rFont val="Tahoma"/>
            <family val="2"/>
          </rPr>
          <t>-Pixel  Bytes-
1.5: YUV420 (HD_VIDEO_PXLFMT_YUV420)
2: YUV422 (HD_VIDEO_PXLFMT_YUV422_ONE)
1.125: YUV420 SCE compression (need 32 align)
              (HD_VIDEO_PXLFMT_YUV420_NVX3)</t>
        </r>
      </text>
    </comment>
    <comment ref="B51" authorId="0" shapeId="0" xr:uid="{00000000-0006-0000-0100-00003B000000}">
      <text>
        <r>
          <rPr>
            <b/>
            <sz val="9"/>
            <color indexed="81"/>
            <rFont val="Tahoma"/>
            <family val="2"/>
          </rPr>
          <t>HD_VIDEOPROC_CTRL ctrl;
ctrl.func = HD_VIDEOPROC_FUNC_DI;
hd_videoproc_set(videproc_path, HD_VIDEOPROC_PARAM_CTRL, &amp;ctrl);</t>
        </r>
      </text>
    </comment>
    <comment ref="B52" authorId="0" shapeId="0" xr:uid="{00000000-0006-0000-0100-00003C000000}">
      <text>
        <r>
          <rPr>
            <b/>
            <sz val="9"/>
            <color indexed="81"/>
            <rFont val="Tahoma"/>
            <family val="2"/>
          </rPr>
          <t xml:space="preserve">HD_VIDEOCAP_PATH_CONFIG cap_config;
cap_config.data_pool[0].counts = HD_VIDEOCAP_SET_COUNT(2, 0);
hd_videocap_set(videocap_path, HD_VIDEOCAP_PARAM_PATH_CONFIG, &amp;cap_config);
HD_VIDEOCAP_OUT cap_out;
cap_out.pxlfmt = HD_VIDEO_PXLFMT_YUV422_ONE; //DI needs YUV422
hd_videocap_set(videocap_path, HD_VIDEOCAP_PARAM_OUT, &amp;cap_out);
</t>
        </r>
      </text>
    </comment>
    <comment ref="B54" authorId="0" shapeId="0" xr:uid="{00000000-0006-0000-0100-00003D000000}">
      <text>
        <r>
          <rPr>
            <b/>
            <sz val="9"/>
            <color indexed="81"/>
            <rFont val="Tahoma"/>
            <family val="2"/>
          </rPr>
          <t>HD_VIDEODEC_PATH_CONFIG dec_config;
dec_config.max_mem.dim.w = ALIGN_CEIL(1920, 16);
dec_config.max_mem.dim.h = ALIGN_CEIL(1080, 16);
hd_videodec_set(videodec_path, HD_VIDEODEC_PARAM_PATH_CONFIG, &amp;dec_config);</t>
        </r>
      </text>
    </comment>
    <comment ref="B55" authorId="0" shapeId="0" xr:uid="{00000000-0006-0000-0100-00003E000000}">
      <text>
        <r>
          <rPr>
            <b/>
            <sz val="9"/>
            <color indexed="81"/>
            <rFont val="Tahoma"/>
            <family val="2"/>
          </rPr>
          <t>HD_VIDEODEC_PATH_CONFIG dec_config;
dec_config.max_mem.dim.w = ALIGN_CEIL(1920, 16);
dec_config.max_mem.dim.h = ALIGN_CEIL(1080, 16);
hd_videodec_set(videodec_path, HD_VIDEODEC_PARAM_PATH_CONFIG, &amp;dec_config);</t>
        </r>
      </text>
    </comment>
    <comment ref="B56" authorId="0" shapeId="0" xr:uid="{00000000-0006-0000-0100-00003F000000}">
      <text>
        <r>
          <rPr>
            <b/>
            <sz val="9"/>
            <color indexed="81"/>
            <rFont val="Tahoma"/>
            <family val="2"/>
          </rPr>
          <t>HD_VIDEODEC_PATH_CONFIG dec_config;
dec_config.data_pool[0].mode = HD_VIDEODEC_POOL_ENABLE;
dec_config.data_pool[0].counts = HD_VIDEODEC_SET_COUNT(3, 0);                
dec_config.max_mem.max_ref_num = 1;  //max reference buffer numbers
hd_videodec_set(videodec_path, HD_VIDEODEC_PARAM_PATH_CONFIG, &amp;dec_config);</t>
        </r>
      </text>
    </comment>
    <comment ref="C56" authorId="1" shapeId="0" xr:uid="{00000000-0006-0000-0100-000040000000}">
      <text>
        <r>
          <rPr>
            <b/>
            <sz val="9"/>
            <color indexed="81"/>
            <rFont val="Tahoma"/>
            <family val="2"/>
          </rPr>
          <t>basic = 1
flow +1
ltr +1
svc4x +1
unvisible +1</t>
        </r>
      </text>
    </comment>
    <comment ref="B57" authorId="0" shapeId="0" xr:uid="{00000000-0006-0000-0100-000041000000}">
      <text>
        <r>
          <rPr>
            <b/>
            <sz val="9"/>
            <color indexed="81"/>
            <rFont val="Tahoma"/>
            <family val="2"/>
          </rPr>
          <t xml:space="preserve">HD_VIDEODEC_PATH_CONFIG dec_config;
dec_config.max_mem.max_bitrate = 8192 * 1024;
hd_videodec_set(videodec_path, HD_VIDEODEC_PARAM_PATH_CONFIG, &amp;dec_config);    </t>
        </r>
      </text>
    </comment>
    <comment ref="B58" authorId="0" shapeId="0" xr:uid="{00000000-0006-0000-0100-000042000000}">
      <text>
        <r>
          <rPr>
            <b/>
            <sz val="9"/>
            <color indexed="81"/>
            <rFont val="Tahoma"/>
            <family val="2"/>
          </rPr>
          <t>Codec min qp will affect minimal compression to calculate bitstream buffer.
Default use qp 15 to get minimal compression 30%.
/* cat /proc/videograph/kflow_videoenc/qp_ratio */
VENDOR_VIDEOENC_MIN_COMPRESS_RATIO  ratio;
ratio.qp_ratio.qp = 15;
ratio.qp_ratio.ratio = 30;
vendor_videoenc_set(videoenc_path, VENDOR_VIDEOENC_PARAM_MIN_COMPRESS_RATIO, &amp;ratio);</t>
        </r>
      </text>
    </comment>
    <comment ref="C58" authorId="1" shapeId="0" xr:uid="{00000000-0006-0000-0100-000043000000}">
      <text>
        <r>
          <rPr>
            <b/>
            <sz val="9"/>
            <color indexed="81"/>
            <rFont val="Tahoma"/>
            <family val="2"/>
          </rPr>
          <t>According to your qp table, to decide min compression rate by min qp.</t>
        </r>
      </text>
    </comment>
    <comment ref="B59" authorId="0" shapeId="0" xr:uid="{00000000-0006-0000-0100-000044000000}">
      <text>
        <r>
          <rPr>
            <b/>
            <sz val="9"/>
            <color indexed="81"/>
            <rFont val="Tahoma"/>
            <family val="2"/>
          </rPr>
          <t>/* To reduce bandwidth, default SDK use 1/2 mode */
/* to allocate extra write buffer */
HD_VIDEODEC_PATH_CONFIG dec_config;
dec_config.data_pool[1].mode = HD_VIDEODEC_POOL_ENABLE; //HD_VIDEODEC_POOL_DISABLE to off
dec_config.data_pool[1].counts = HD_VIDEODEC_SET_COUNT(3, 0);                
hd_videodec_set(videodec_path, HD_VIDEODEC_PARAM_PATH_CONFIG, &amp;dec_config);
/* to update extra write ratio */
VENDOR_VIDEODEC_SUB_YUV sub_yuv;
sub_yuv.ratio = VENDOR_SUB_RATIO_2x;
vendor_videodec_set(videodec_path, VENDOR_VIDEODEC_PARAM_SUB_YUV_RATIO, &amp;sub_yuv);</t>
        </r>
      </text>
    </comment>
    <comment ref="C59" authorId="1" shapeId="0" xr:uid="{00000000-0006-0000-0100-000045000000}">
      <text>
        <r>
          <rPr>
            <b/>
            <sz val="9"/>
            <color indexed="81"/>
            <rFont val="Tahoma"/>
            <family val="2"/>
          </rPr>
          <t>0:disable extra write
2: 1/2 x 1/2 ratio
3: 1/3 x 1/3 ratio
4: 1/4 x 1/4 ratio</t>
        </r>
      </text>
    </comment>
    <comment ref="B60" authorId="0" shapeId="0" xr:uid="{00000000-0006-0000-0100-000046000000}">
      <text>
        <r>
          <rPr>
            <b/>
            <sz val="9"/>
            <color indexed="81"/>
            <rFont val="Tahoma"/>
            <family val="2"/>
          </rPr>
          <t>HD_VIDEODEC_PATH_CONFIG dec_config;
dec_config.max_mem.bs_counts = 7;
hd_videodec_set(videodec_path, HD_VIDEODEC_PARAM_PATH_CONFIG, &amp;dec_config);</t>
        </r>
      </text>
    </comment>
    <comment ref="B61" authorId="0" shapeId="0" xr:uid="{00000000-0006-0000-0100-000047000000}">
      <text>
        <r>
          <rPr>
            <b/>
            <sz val="9"/>
            <color indexed="81"/>
            <rFont val="Tahoma"/>
            <family val="2"/>
          </rPr>
          <t>for HD_COMMON_MEM_DEC_TILE_POOL</t>
        </r>
      </text>
    </comment>
    <comment ref="B62" authorId="0" shapeId="0" xr:uid="{00000000-0006-0000-0100-000048000000}">
      <text>
        <r>
          <rPr>
            <b/>
            <sz val="9"/>
            <color indexed="81"/>
            <rFont val="Tahoma"/>
            <family val="2"/>
          </rPr>
          <t>for HD_COMMON_MEM_DEC_TILE_POOL</t>
        </r>
      </text>
    </comment>
    <comment ref="B63" authorId="0" shapeId="0" xr:uid="{00000000-0006-0000-0100-000049000000}">
      <text>
        <r>
          <rPr>
            <b/>
            <sz val="9"/>
            <color indexed="81"/>
            <rFont val="Tahoma"/>
            <family val="2"/>
          </rPr>
          <t>VPE 1toN: output YUV420 SCE for display0/display1</t>
        </r>
      </text>
    </comment>
    <comment ref="C63" authorId="0" shapeId="0" xr:uid="{00000000-0006-0000-0100-00004A000000}">
      <text>
        <r>
          <rPr>
            <b/>
            <sz val="9"/>
            <color indexed="81"/>
            <rFont val="Tahoma"/>
            <family val="2"/>
          </rPr>
          <t>0: Disable
1: Display0 only
2: Display1 only
3: Display0, Display1</t>
        </r>
      </text>
    </comment>
    <comment ref="B64" authorId="0" shapeId="0" xr:uid="{00000000-0006-0000-0100-00004B000000}">
      <text>
        <r>
          <rPr>
            <b/>
            <sz val="9"/>
            <color indexed="81"/>
            <rFont val="Tahoma"/>
            <family val="2"/>
          </rPr>
          <t>YUV420 SCE buffer count</t>
        </r>
      </text>
    </comment>
    <comment ref="B66" authorId="0" shapeId="0" xr:uid="{00000000-0006-0000-0100-00004C000000}">
      <text>
        <r>
          <rPr>
            <b/>
            <sz val="9"/>
            <color indexed="81"/>
            <rFont val="Tahoma"/>
            <family val="2"/>
          </rPr>
          <t>HD_VIDEODEC_PATH_CONFIG dec_config;
dec_config.max_mem.dim.w = ALIGN_CEIL(1920, 16);
dec_config.max_mem.dim.h = ALIGN_CEIL(1080, 16);
hd_videodec_set(videodec_path, HD_VIDEODEC_PARAM_PATH_CONFIG, &amp;dec_config);</t>
        </r>
      </text>
    </comment>
    <comment ref="B67" authorId="0" shapeId="0" xr:uid="{00000000-0006-0000-0100-00004D000000}">
      <text>
        <r>
          <rPr>
            <b/>
            <sz val="9"/>
            <color indexed="81"/>
            <rFont val="Tahoma"/>
            <family val="2"/>
          </rPr>
          <t>HD_VIDEODEC_PATH_CONFIG dec_config;
dec_config.max_mem.dim.w = ALIGN_CEIL(1920, 16);
dec_config.max_mem.dim.h = ALIGN_CEIL(1080, 16);
hd_videodec_set(videodec_path, HD_VIDEODEC_PARAM_PATH_CONFIG, &amp;dec_config);</t>
        </r>
      </text>
    </comment>
    <comment ref="B68" authorId="0" shapeId="0" xr:uid="{00000000-0006-0000-0100-00004E000000}">
      <text>
        <r>
          <rPr>
            <b/>
            <sz val="9"/>
            <color indexed="81"/>
            <rFont val="Tahoma"/>
            <family val="2"/>
          </rPr>
          <t>HD_VIDEODEC_PATH_CONFIG dec_config;
dec_config.data_pool[0].mode = HD_VIDEODEC_POOL_ENABLE;
dec_config.data_pool[0].counts = HD_VIDEODEC_SET_COUNT(3, 0);                
dec_config.max_mem.max_ref_num = 1;  //max reference buffer numbers
hd_videodec_set(videodec_path, HD_VIDEODEC_PARAM_PATH_CONFIG, &amp;dec_config);</t>
        </r>
      </text>
    </comment>
    <comment ref="C68" authorId="1" shapeId="0" xr:uid="{00000000-0006-0000-0100-00004F000000}">
      <text>
        <r>
          <rPr>
            <b/>
            <sz val="9"/>
            <color indexed="81"/>
            <rFont val="Tahoma"/>
            <family val="2"/>
          </rPr>
          <t>basic = 1
flow +1
ltr +1
svc4x +1
univisible +1</t>
        </r>
      </text>
    </comment>
    <comment ref="B69" authorId="0" shapeId="0" xr:uid="{00000000-0006-0000-0100-000050000000}">
      <text>
        <r>
          <rPr>
            <b/>
            <sz val="9"/>
            <color indexed="81"/>
            <rFont val="Tahoma"/>
            <family val="2"/>
          </rPr>
          <t xml:space="preserve">HD_VIDEODEC_PATH_CONFIG dec_config;
dec_config.max_mem.max_bitrate = 8192 * 1024;
hd_videodec_set(videodec_path, HD_VIDEODEC_PARAM_PATH_CONFIG, &amp;dec_config);    </t>
        </r>
      </text>
    </comment>
    <comment ref="B70" authorId="0" shapeId="0" xr:uid="{00000000-0006-0000-0100-000051000000}">
      <text>
        <r>
          <rPr>
            <b/>
            <sz val="9"/>
            <color indexed="81"/>
            <rFont val="Tahoma"/>
            <family val="2"/>
          </rPr>
          <t>Codec min qp will affect minimal compression to calculate bitstream buffer.
Default use qp 15 to get minimal compression 30%.
/* cat /proc/videograph/kflow_videoenc/qp_ratio */
VENDOR_VIDEOENC_MIN_COMPRESS_RATIO  ratio;
ratio.qp_ratio.qp = 15;
ratio.qp_ratio.ratio = 30;
vendor_videoenc_set(videoenc_path, VENDOR_VIDEOENC_PARAM_MIN_COMPRESS_RATIO, &amp;ratio);</t>
        </r>
      </text>
    </comment>
    <comment ref="C70" authorId="1" shapeId="0" xr:uid="{00000000-0006-0000-0100-000052000000}">
      <text>
        <r>
          <rPr>
            <b/>
            <sz val="9"/>
            <color indexed="81"/>
            <rFont val="Tahoma"/>
            <family val="2"/>
          </rPr>
          <t>According to your qp table, to decide min compression rate by min qp.</t>
        </r>
      </text>
    </comment>
    <comment ref="B71" authorId="0" shapeId="0" xr:uid="{00000000-0006-0000-0100-000053000000}">
      <text>
        <r>
          <rPr>
            <b/>
            <sz val="9"/>
            <color indexed="81"/>
            <rFont val="Tahoma"/>
            <family val="2"/>
          </rPr>
          <t>HD_VIDEODEC_PATH_CONFIG dec_config;
dec_config.data_pool[1].mode = HD_VIDEODEC_POOL_ENABLE;
dec_config.data_pool[1].counts = HD_VIDEODEC_SET_COUNT(3, 0);                
hd_videodec_set(videodec_path, HD_VIDEODEC_PARAM_PATH_CONFIG, &amp;dec_config);</t>
        </r>
      </text>
    </comment>
    <comment ref="C71" authorId="1" shapeId="0" xr:uid="{00000000-0006-0000-0100-000054000000}">
      <text>
        <r>
          <rPr>
            <b/>
            <sz val="9"/>
            <color indexed="81"/>
            <rFont val="Tahoma"/>
            <family val="2"/>
          </rPr>
          <t>0:disable extra write
2: 1/2 x 1/2 ratio
3: 1/3 x 1/3 ratio
4: 1/4 x 1/4 ratio</t>
        </r>
      </text>
    </comment>
    <comment ref="B72" authorId="0" shapeId="0" xr:uid="{00000000-0006-0000-0100-000055000000}">
      <text>
        <r>
          <rPr>
            <b/>
            <sz val="9"/>
            <color indexed="81"/>
            <rFont val="Tahoma"/>
            <family val="2"/>
          </rPr>
          <t>HD_VIDEODEC_PATH_CONFIG dec_config;
dec_config.max_mem.bs_counts = 7;
hd_videodec_set(videodec_path, HD_VIDEODEC_PARAM_PATH_CONFIG, &amp;dec_config);</t>
        </r>
      </text>
    </comment>
    <comment ref="B73" authorId="0" shapeId="0" xr:uid="{00000000-0006-0000-0100-000056000000}">
      <text>
        <r>
          <rPr>
            <b/>
            <sz val="9"/>
            <color indexed="81"/>
            <rFont val="Tahoma"/>
            <family val="2"/>
          </rPr>
          <t>for HD_COMMON_MEM_DEC_TILE_POOL</t>
        </r>
      </text>
    </comment>
    <comment ref="B74" authorId="0" shapeId="0" xr:uid="{00000000-0006-0000-0100-000057000000}">
      <text>
        <r>
          <rPr>
            <b/>
            <sz val="9"/>
            <color indexed="81"/>
            <rFont val="Tahoma"/>
            <family val="2"/>
          </rPr>
          <t>for HD_COMMON_MEM_DEC_TILE_POOL</t>
        </r>
      </text>
    </comment>
    <comment ref="B75" authorId="0" shapeId="0" xr:uid="{00000000-0006-0000-0100-000058000000}">
      <text>
        <r>
          <rPr>
            <b/>
            <sz val="9"/>
            <color indexed="81"/>
            <rFont val="Tahoma"/>
            <family val="2"/>
          </rPr>
          <t>VPE 1toN: output YUV420 SCE for display0/display1</t>
        </r>
      </text>
    </comment>
    <comment ref="C75" authorId="0" shapeId="0" xr:uid="{00000000-0006-0000-0100-000059000000}">
      <text>
        <r>
          <rPr>
            <b/>
            <sz val="9"/>
            <color indexed="81"/>
            <rFont val="Tahoma"/>
            <family val="2"/>
          </rPr>
          <t>0: Disable
1: Display0 only
2: Display1 only
3: Display0, Display1</t>
        </r>
      </text>
    </comment>
    <comment ref="B76" authorId="0" shapeId="0" xr:uid="{00000000-0006-0000-0100-00005A000000}">
      <text>
        <r>
          <rPr>
            <b/>
            <sz val="9"/>
            <color indexed="81"/>
            <rFont val="Tahoma"/>
            <family val="2"/>
          </rPr>
          <t>YUV420 SCE buffer count</t>
        </r>
      </text>
    </comment>
    <comment ref="B77" authorId="0" shapeId="0" xr:uid="{00000000-0006-0000-0100-00005B000000}">
      <text>
        <r>
          <rPr>
            <b/>
            <sz val="9"/>
            <color indexed="81"/>
            <rFont val="Tahoma"/>
            <family val="2"/>
          </rPr>
          <t>HD_VIDEOPROC_CTRL ctrl;
ctrl.func = HD_VIDEOPROC_FUNC_DI;
hd_videoproc_set(videproc_path, HD_VIDEOPROC_PARAM_CTRL, &amp;ctrl);</t>
        </r>
      </text>
    </comment>
    <comment ref="B78" authorId="0" shapeId="0" xr:uid="{00000000-0006-0000-0100-00005C000000}">
      <text>
        <r>
          <rPr>
            <b/>
            <sz val="9"/>
            <color indexed="81"/>
            <rFont val="Tahoma"/>
            <family val="2"/>
          </rPr>
          <t xml:space="preserve">HD_VIDEOCAP_PATH_CONFIG cap_config;
cap_config.data_pool[0].counts = HD_VIDEOCAP_SET_COUNT(2, 0);
hd_videocap_set(videocap_path, HD_VIDEOCAP_PARAM_PATH_CONFIG, &amp;cap_config);
HD_VIDEOCAP_OUT cap_out;
cap_out.pxlfmt = HD_VIDEO_PXLFMT_YUV422_ONE; //DI needs YUV422
hd_videocap_set(videocap_path, HD_VIDEOCAP_PARAM_OUT, &amp;cap_out);
</t>
        </r>
      </text>
    </comment>
    <comment ref="B80" authorId="0" shapeId="0" xr:uid="{00000000-0006-0000-0100-00005D000000}">
      <text>
        <r>
          <rPr>
            <b/>
            <sz val="9"/>
            <color indexed="81"/>
            <rFont val="Tahoma"/>
            <family val="2"/>
          </rPr>
          <t>HD_VIDEOENC_IN  param;
param.dim.w = 1920;
param.dim.h = 1080;
hd_videoenc_set(videoenc_path, HD_VIDEOENC_PARAM_IN, &amp;param);</t>
        </r>
      </text>
    </comment>
    <comment ref="B81" authorId="0" shapeId="0" xr:uid="{00000000-0006-0000-0100-00005E000000}">
      <text>
        <r>
          <rPr>
            <b/>
            <sz val="9"/>
            <color indexed="81"/>
            <rFont val="Tahoma"/>
            <family val="2"/>
          </rPr>
          <t>HD_VIDEOENC_IN  param;
param.dim.w = 1920;
param.dim.h = 1080;
hd_videoenc_set(videoenc_path, HD_VIDEOENC_PARAM_IN, &amp;param);</t>
        </r>
      </text>
    </comment>
    <comment ref="B82" authorId="0" shapeId="0" xr:uid="{00000000-0006-0000-0100-00005F000000}">
      <text>
        <r>
          <rPr>
            <b/>
            <sz val="9"/>
            <color indexed="81"/>
            <rFont val="Tahoma"/>
            <family val="2"/>
          </rPr>
          <t>HD_VIDEOCAP_PATH_CONFIG cap_config;        
cap_config.data_pool[0].counts = HD_VIDEOCAP_SET_COUNT(4, 0);
hd_videocap_set(videocap_path, HD_VIDEOCAP_PARAM_PATH_CONFIG, &amp;cap_config);</t>
        </r>
      </text>
    </comment>
    <comment ref="C82" authorId="1" shapeId="0" xr:uid="{00000000-0006-0000-0100-000060000000}">
      <text>
        <r>
          <rPr>
            <b/>
            <sz val="9"/>
            <color indexed="81"/>
            <rFont val="Tahoma"/>
            <family val="2"/>
          </rPr>
          <t xml:space="preserve">non-realtime: 2, 3 (No Decimal)
realtime: 3, 4, 5 (No Decimal)
</t>
        </r>
      </text>
    </comment>
    <comment ref="B83" authorId="0" shapeId="0" xr:uid="{00000000-0006-0000-0100-000061000000}">
      <text>
        <r>
          <rPr>
            <b/>
            <sz val="9"/>
            <color indexed="81"/>
            <rFont val="Tahoma"/>
            <family val="2"/>
          </rPr>
          <t>HD_VIDEOCAP_OUT cap_out;
cap_out.pxlfmt = HD_VIDEO_PXLFMT_YUV420_NVX3;
hd_videocap_set(videocap_path, HD_VIDEOCAP_PARAM_OUT, &amp;cap_out);</t>
        </r>
      </text>
    </comment>
    <comment ref="C83" authorId="1" shapeId="0" xr:uid="{00000000-0006-0000-0100-000062000000}">
      <text>
        <r>
          <rPr>
            <b/>
            <sz val="9"/>
            <color indexed="81"/>
            <rFont val="Tahoma"/>
            <family val="2"/>
          </rPr>
          <t>-Pixel  Bytes-
1.5: YUV420 (HD_VIDEO_PXLFMT_YUV420)
2: YUV422 (HD_VIDEO_PXLFMT_YUV422_ONE)
1.125: YUV420 SCE compression
              (HD_VIDEO_PXLFMT_YUV420_NVX3)</t>
        </r>
      </text>
    </comment>
    <comment ref="B84" authorId="0" shapeId="0" xr:uid="{00000000-0006-0000-0100-000063000000}">
      <text>
        <r>
          <rPr>
            <b/>
            <sz val="9"/>
            <color indexed="81"/>
            <rFont val="Tahoma"/>
            <family val="2"/>
          </rPr>
          <t xml:space="preserve">HD_VIDEOENC_OUT encode_out_param;
encode_out_param.h26x.svc_layer = HD_SVC_4X; //svc4x on, count +1
encode_out_param.h26x.ltr_interval = 30; //ltr on, count +1
hd_videoenc_set(videoenc_path, HD_VIDEOENC_PARAM_OUT_ENC_PARAM, &amp;encode_out_param);
</t>
        </r>
      </text>
    </comment>
    <comment ref="C84" authorId="1" shapeId="0" xr:uid="{00000000-0006-0000-0100-000064000000}">
      <text>
        <r>
          <rPr>
            <b/>
            <sz val="9"/>
            <color indexed="81"/>
            <rFont val="Tahoma"/>
            <family val="2"/>
          </rPr>
          <t xml:space="preserve">basic = 1
ltr +1
svc4x +1
</t>
        </r>
      </text>
    </comment>
    <comment ref="B85" authorId="0" shapeId="0" xr:uid="{00000000-0006-0000-0100-000065000000}">
      <text>
        <r>
          <rPr>
            <b/>
            <sz val="9"/>
            <color indexed="81"/>
            <rFont val="Tahoma"/>
            <family val="2"/>
          </rPr>
          <t>for HD_COMMON_MEM_ENC_REF_POOL</t>
        </r>
      </text>
    </comment>
    <comment ref="B86" authorId="0" shapeId="0" xr:uid="{00000000-0006-0000-0100-000066000000}">
      <text>
        <r>
          <rPr>
            <b/>
            <sz val="9"/>
            <color indexed="81"/>
            <rFont val="Tahoma"/>
            <family val="2"/>
          </rPr>
          <t>for HD_COMMON_MEM_ENC_REF_POOL</t>
        </r>
      </text>
    </comment>
    <comment ref="B87" authorId="0" shapeId="0" xr:uid="{00000000-0006-0000-0100-000067000000}">
      <text>
        <r>
          <rPr>
            <b/>
            <sz val="9"/>
            <color indexed="81"/>
            <rFont val="Tahoma"/>
            <family val="2"/>
          </rPr>
          <t>VENDOR_VIDEO_PARAM_TMNR_EXT tmnr;
tmnr.tmnr_en = 1;                                            
vendor_video_set(videoenc_path, VENDOR_VIDEO_TMNR_CTRL, &amp;tmnr);</t>
        </r>
      </text>
    </comment>
    <comment ref="B88" authorId="0" shapeId="0" xr:uid="{00000000-0006-0000-0100-000068000000}">
      <text>
        <r>
          <rPr>
            <b/>
            <sz val="9"/>
            <color indexed="81"/>
            <rFont val="Tahoma"/>
            <family val="2"/>
          </rPr>
          <t>HD_H26XENC_RATE_CONTROL param;
param.cbr.bitrate = 8192 * 1024;
hd_videoenc_set(videoenc_path, HD_VIDEOENC_PARAM_OUT_RATE_CONTROL, &amp;param);</t>
        </r>
      </text>
    </comment>
    <comment ref="B89" authorId="0" shapeId="0" xr:uid="{00000000-0006-0000-0100-000069000000}">
      <text>
        <r>
          <rPr>
            <b/>
            <sz val="9"/>
            <color indexed="81"/>
            <rFont val="Tahoma"/>
            <family val="2"/>
          </rPr>
          <t>/* cat /proc/videograph/kflow_videoenc/qp_ratio */
HD_H26XENC_RATE_CONTROL rate_ctrl_param;
rate_ctrl_param.evbr.min_i_qp = 15;  //min qp 15, min compressed rate 0.3
rate_ctrl_param.evbr.min_p_qp = 15;  //min qp 15, min compressed rate 0.3
hd_videoenc_set(videoenc_path, HD_VIDEOENC_PARAM_OUT_RATE_CONTROL, &amp;rate_ctrl_param);
VENDOR_VIDEOENC_MIN_COMPRESS_RATIO  ratio;
ratio.qp_ratio.qp = 15;
ratio.qp_ratio.ratio = 30;
vendor_videoenc_set(videoenc_path, VENDOR_VIDEOENC_PARAM_MIN_COMPRESS_RATIO, &amp;ratio);</t>
        </r>
      </text>
    </comment>
    <comment ref="C89" authorId="1" shapeId="0" xr:uid="{00000000-0006-0000-0100-00006A000000}">
      <text>
        <r>
          <rPr>
            <b/>
            <sz val="9"/>
            <color indexed="81"/>
            <rFont val="Tahoma"/>
            <family val="2"/>
          </rPr>
          <t>According to your qp table, to decide min compression rate by min qp.</t>
        </r>
      </text>
    </comment>
    <comment ref="B90" authorId="0" shapeId="0" xr:uid="{00000000-0006-0000-0100-00006B000000}">
      <text>
        <r>
          <rPr>
            <b/>
            <sz val="9"/>
            <color indexed="81"/>
            <rFont val="Tahoma"/>
            <family val="2"/>
          </rPr>
          <t xml:space="preserve">HD_VIDEOENC_PATH_CONFIG enc_config;
enc_config.data_pool[0].counts = HD_VIDEOENC_SET_COUNT(7, 0);
hd_videoenc_set(videoenc_path, HD_VIDEOENC_PARAM_PATH_CONFIG, &amp;enc_config);  </t>
        </r>
      </text>
    </comment>
    <comment ref="B92" authorId="0" shapeId="0" xr:uid="{00000000-0006-0000-0100-00006C000000}">
      <text>
        <r>
          <rPr>
            <b/>
            <sz val="9"/>
            <color indexed="81"/>
            <rFont val="Tahoma"/>
            <family val="2"/>
          </rPr>
          <t>HD_VIDEOENC_IN  param;
param.dim.w = 1920;
param.dim.h = 1080;
hd_videoenc_set(videoenc_path, HD_VIDEOENC_PARAM_IN, &amp;param);</t>
        </r>
      </text>
    </comment>
    <comment ref="B93" authorId="0" shapeId="0" xr:uid="{00000000-0006-0000-0100-00006D000000}">
      <text>
        <r>
          <rPr>
            <b/>
            <sz val="9"/>
            <color indexed="81"/>
            <rFont val="Tahoma"/>
            <family val="2"/>
          </rPr>
          <t>HD_VIDEOENC_IN  param;
param.dim.w = 1920;
param.dim.h = 1080;
hd_videoenc_set(videoenc_path, HD_VIDEOENC_PARAM_IN, &amp;param);</t>
        </r>
      </text>
    </comment>
    <comment ref="B94" authorId="0" shapeId="0" xr:uid="{00000000-0006-0000-0100-00006E000000}">
      <text>
        <r>
          <rPr>
            <b/>
            <sz val="9"/>
            <color indexed="81"/>
            <rFont val="Tahoma"/>
            <family val="2"/>
          </rPr>
          <t>HD_VIDEOCAP_PATH_CONFIG cap_config;        
cap_config.data_pool[0].counts = HD_VIDEOCAP_SET_COUNT(4, 0);
hd_videocap_set(videocap_path, HD_VIDEOCAP_PARAM_PATH_CONFIG, &amp;cap_config);</t>
        </r>
      </text>
    </comment>
    <comment ref="C94" authorId="1" shapeId="0" xr:uid="{00000000-0006-0000-0100-00006F000000}">
      <text>
        <r>
          <rPr>
            <b/>
            <sz val="9"/>
            <color indexed="81"/>
            <rFont val="Tahoma"/>
            <family val="2"/>
          </rPr>
          <t xml:space="preserve">non-realtime: 2, 3 (No Decimal)
realtime: 3, 4, 5 (No Decimal)
</t>
        </r>
      </text>
    </comment>
    <comment ref="B95" authorId="0" shapeId="0" xr:uid="{00000000-0006-0000-0100-000070000000}">
      <text>
        <r>
          <rPr>
            <b/>
            <sz val="9"/>
            <color indexed="81"/>
            <rFont val="Tahoma"/>
            <family val="2"/>
          </rPr>
          <t>HD_VIDEOCAP_OUT cap_out;
cap_out.pxlfmt = HD_VIDEO_PXLFMT_YUV420_NVX3;
hd_videocap_set(videocap_path, HD_VIDEOCAP_PARAM_OUT, &amp;cap_out);</t>
        </r>
      </text>
    </comment>
    <comment ref="C95" authorId="1" shapeId="0" xr:uid="{00000000-0006-0000-0100-000071000000}">
      <text>
        <r>
          <rPr>
            <b/>
            <sz val="9"/>
            <color indexed="81"/>
            <rFont val="Tahoma"/>
            <family val="2"/>
          </rPr>
          <t>-Pixel  Bytes-
1.5: YUV420 (HD_VIDEO_PXLFMT_YUV420)
2: YUV422 (HD_VIDEO_PXLFMT_YUV422_ONE)
1.125: YUV420 SCE compression
              (HD_VIDEO_PXLFMT_YUV420_NVX3)</t>
        </r>
      </text>
    </comment>
    <comment ref="B96" authorId="0" shapeId="0" xr:uid="{00000000-0006-0000-0100-000072000000}">
      <text>
        <r>
          <rPr>
            <b/>
            <sz val="9"/>
            <color indexed="81"/>
            <rFont val="Tahoma"/>
            <family val="2"/>
          </rPr>
          <t xml:space="preserve">HD_VIDEOENC_OUT encode_out_param;
encode_out_param.h26x.svc_layer = HD_SVC_4X; //svc4x on, count +1
encode_out_param.h26x.ltr_interval = 30; //ltr on, count +1
hd_videoenc_set(videoenc_path, HD_VIDEOENC_PARAM_OUT_ENC_PARAM, &amp;encode_out_param);
</t>
        </r>
      </text>
    </comment>
    <comment ref="C96" authorId="1" shapeId="0" xr:uid="{00000000-0006-0000-0100-000073000000}">
      <text>
        <r>
          <rPr>
            <b/>
            <sz val="9"/>
            <color indexed="81"/>
            <rFont val="Tahoma"/>
            <family val="2"/>
          </rPr>
          <t xml:space="preserve">basic = 1
ltr +1
svc4x +1
</t>
        </r>
      </text>
    </comment>
    <comment ref="B97" authorId="0" shapeId="0" xr:uid="{00000000-0006-0000-0100-000074000000}">
      <text>
        <r>
          <rPr>
            <b/>
            <sz val="9"/>
            <color indexed="81"/>
            <rFont val="Tahoma"/>
            <family val="2"/>
          </rPr>
          <t>for HD_COMMON_MEM_ENC_REF_POOL</t>
        </r>
      </text>
    </comment>
    <comment ref="B98" authorId="0" shapeId="0" xr:uid="{00000000-0006-0000-0100-000075000000}">
      <text>
        <r>
          <rPr>
            <b/>
            <sz val="9"/>
            <color indexed="81"/>
            <rFont val="Tahoma"/>
            <family val="2"/>
          </rPr>
          <t>for HD_COMMON_MEM_ENC_REF_POOL</t>
        </r>
      </text>
    </comment>
    <comment ref="B99" authorId="0" shapeId="0" xr:uid="{00000000-0006-0000-0100-000076000000}">
      <text>
        <r>
          <rPr>
            <b/>
            <sz val="9"/>
            <color indexed="81"/>
            <rFont val="Tahoma"/>
            <family val="2"/>
          </rPr>
          <t>VENDOR_VIDEO_PARAM_TMNR_EXT tmnr;
tmnr.tmnr_en = 1;                                            
vendor_video_set(videoenc_path, VENDOR_VIDEO_TMNR_CTRL, &amp;tmnr);</t>
        </r>
      </text>
    </comment>
    <comment ref="B100" authorId="0" shapeId="0" xr:uid="{00000000-0006-0000-0100-000077000000}">
      <text>
        <r>
          <rPr>
            <b/>
            <sz val="9"/>
            <color indexed="81"/>
            <rFont val="Tahoma"/>
            <family val="2"/>
          </rPr>
          <t>HD_H26XENC_RATE_CONTROL param;
param.cbr.bitrate = 8192 * 1024;
hd_videoenc_set(videoenc_path, HD_VIDEOENC_PARAM_OUT_RATE_CONTROL, &amp;param);</t>
        </r>
      </text>
    </comment>
    <comment ref="B101" authorId="0" shapeId="0" xr:uid="{00000000-0006-0000-0100-000078000000}">
      <text>
        <r>
          <rPr>
            <b/>
            <sz val="9"/>
            <color indexed="81"/>
            <rFont val="Tahoma"/>
            <family val="2"/>
          </rPr>
          <t>/* cat /proc/videograph/kflow_videoenc/qp_ratio */
HD_H26XENC_RATE_CONTROL rate_ctrl_param;
rate_ctrl_param.evbr.min_i_qp = 15;  //min qp 15, min compressed rate 0.3
rate_ctrl_param.evbr.min_p_qp = 15;  //min qp 15, min compressed rate 0.3
hd_videoenc_set(videoenc_path, HD_VIDEOENC_PARAM_OUT_RATE_CONTROL, &amp;rate_ctrl_param);</t>
        </r>
      </text>
    </comment>
    <comment ref="C101" authorId="1" shapeId="0" xr:uid="{00000000-0006-0000-0100-000079000000}">
      <text>
        <r>
          <rPr>
            <b/>
            <sz val="9"/>
            <color indexed="81"/>
            <rFont val="Tahoma"/>
            <family val="2"/>
          </rPr>
          <t>According to your qp table, to decide min compression rate by min qp.</t>
        </r>
      </text>
    </comment>
    <comment ref="B102" authorId="0" shapeId="0" xr:uid="{00000000-0006-0000-0100-00007A000000}">
      <text>
        <r>
          <rPr>
            <b/>
            <sz val="9"/>
            <color indexed="81"/>
            <rFont val="Tahoma"/>
            <family val="2"/>
          </rPr>
          <t xml:space="preserve">HD_VIDEOENC_PATH_CONFIG enc_config;
enc_config.data_pool[0].counts = HD_VIDEOENC_SET_COUNT(7, 0);
hd_videoenc_set(videoenc_path, HD_VIDEOENC_PARAM_PATH_CONFIG, &amp;enc_config);  </t>
        </r>
      </text>
    </comment>
    <comment ref="B104" authorId="0" shapeId="0" xr:uid="{00000000-0006-0000-0100-00007B000000}">
      <text>
        <r>
          <rPr>
            <b/>
            <sz val="9"/>
            <color indexed="81"/>
            <rFont val="Tahoma"/>
            <family val="2"/>
          </rPr>
          <t>HD_VIDEOENC_IN  param;
param.dim.w = 1920;
param.dim.h = 1080;
hd_videoenc_set(videoenc_path, HD_VIDEOENC_PARAM_IN, &amp;param);</t>
        </r>
      </text>
    </comment>
    <comment ref="B105" authorId="0" shapeId="0" xr:uid="{00000000-0006-0000-0100-00007C000000}">
      <text>
        <r>
          <rPr>
            <b/>
            <sz val="9"/>
            <color indexed="81"/>
            <rFont val="Tahoma"/>
            <family val="2"/>
          </rPr>
          <t>HD_VIDEOENC_IN  param;
param.dim.w = 1920;
param.dim.h = 1080;
hd_videoenc_set(videoenc_path, HD_VIDEOENC_PARAM_IN, &amp;param);</t>
        </r>
      </text>
    </comment>
    <comment ref="B106" authorId="0" shapeId="0" xr:uid="{00000000-0006-0000-0100-00007D000000}">
      <text>
        <r>
          <rPr>
            <b/>
            <sz val="9"/>
            <color indexed="81"/>
            <rFont val="Tahoma"/>
            <family val="2"/>
          </rPr>
          <t>HD_VIDEOCAP_PATH_CONFIG cap_config;        
cap_config.data_pool[0].counts = HD_VIDEOCAP_SET_COUNT(4, 0);
hd_videocap_set(videocap_path, HD_VIDEOCAP_PARAM_PATH_CONFIG, &amp;cap_config);</t>
        </r>
      </text>
    </comment>
    <comment ref="C106" authorId="1" shapeId="0" xr:uid="{00000000-0006-0000-0100-00007E000000}">
      <text>
        <r>
          <rPr>
            <b/>
            <sz val="9"/>
            <color indexed="81"/>
            <rFont val="Tahoma"/>
            <family val="2"/>
          </rPr>
          <t xml:space="preserve">non-realtime: 2, 3 (No Decimal)
realtime: 3, 4, 5 (No Decimal)
</t>
        </r>
      </text>
    </comment>
    <comment ref="B107" authorId="0" shapeId="0" xr:uid="{00000000-0006-0000-0100-00007F000000}">
      <text>
        <r>
          <rPr>
            <b/>
            <sz val="9"/>
            <color indexed="81"/>
            <rFont val="Tahoma"/>
            <family val="2"/>
          </rPr>
          <t>HD_VIDEOCAP_OUT cap_out;
cap_out.pxlfmt = HD_VIDEO_PXLFMT_YUV420_NVX3;
hd_videocap_set(videocap_path, HD_VIDEOCAP_PARAM_OUT, &amp;cap_out);</t>
        </r>
      </text>
    </comment>
    <comment ref="C107" authorId="1" shapeId="0" xr:uid="{00000000-0006-0000-0100-000080000000}">
      <text>
        <r>
          <rPr>
            <b/>
            <sz val="9"/>
            <color indexed="81"/>
            <rFont val="Tahoma"/>
            <family val="2"/>
          </rPr>
          <t>-Pixel  Bytes-
1.5: YUV420 (HD_VIDEO_PXLFMT_YUV420)
2: YUV422 (HD_VIDEO_PXLFMT_YUV422_ONE)
1.125: YUV420 SCE compression
              (HD_VIDEO_PXLFMT_YUV420_NVX3)</t>
        </r>
      </text>
    </comment>
    <comment ref="B108" authorId="0" shapeId="0" xr:uid="{00000000-0006-0000-0100-000081000000}">
      <text>
        <r>
          <rPr>
            <b/>
            <sz val="9"/>
            <color indexed="81"/>
            <rFont val="Tahoma"/>
            <family val="2"/>
          </rPr>
          <t xml:space="preserve">HD_VIDEOENC_OUT encode_out_param;
encode_out_param.h26x.svc_layer = HD_SVC_4X; //svc4x on, count +1
encode_out_param.h26x.ltr_interval = 30; //ltr on, count +1
hd_videoenc_set(videoenc_path, HD_VIDEOENC_PARAM_OUT_ENC_PARAM, &amp;encode_out_param);
</t>
        </r>
      </text>
    </comment>
    <comment ref="C108" authorId="1" shapeId="0" xr:uid="{00000000-0006-0000-0100-000082000000}">
      <text>
        <r>
          <rPr>
            <b/>
            <sz val="9"/>
            <color indexed="81"/>
            <rFont val="Tahoma"/>
            <family val="2"/>
          </rPr>
          <t xml:space="preserve">basic = 1
ltr +1
svc4x +1
</t>
        </r>
      </text>
    </comment>
    <comment ref="B109" authorId="0" shapeId="0" xr:uid="{00000000-0006-0000-0100-000083000000}">
      <text>
        <r>
          <rPr>
            <b/>
            <sz val="9"/>
            <color indexed="81"/>
            <rFont val="Tahoma"/>
            <family val="2"/>
          </rPr>
          <t>for HD_COMMON_MEM_ENC_REF_POOL</t>
        </r>
      </text>
    </comment>
    <comment ref="B110" authorId="0" shapeId="0" xr:uid="{00000000-0006-0000-0100-000084000000}">
      <text>
        <r>
          <rPr>
            <b/>
            <sz val="9"/>
            <color indexed="81"/>
            <rFont val="Tahoma"/>
            <family val="2"/>
          </rPr>
          <t>for HD_COMMON_MEM_ENC_REF_POOL</t>
        </r>
      </text>
    </comment>
    <comment ref="B111" authorId="0" shapeId="0" xr:uid="{00000000-0006-0000-0100-000085000000}">
      <text>
        <r>
          <rPr>
            <b/>
            <sz val="9"/>
            <color indexed="81"/>
            <rFont val="Tahoma"/>
            <family val="2"/>
          </rPr>
          <t>VENDOR_VIDEO_PARAM_TMNR_EXT tmnr;
tmnr.tmnr_en = 1;                                            
vendor_video_set(videoenc_path, VENDOR_VIDEO_TMNR_CTRL, &amp;tmnr);</t>
        </r>
      </text>
    </comment>
    <comment ref="B112" authorId="0" shapeId="0" xr:uid="{00000000-0006-0000-0100-000086000000}">
      <text>
        <r>
          <rPr>
            <b/>
            <sz val="9"/>
            <color indexed="81"/>
            <rFont val="Tahoma"/>
            <family val="2"/>
          </rPr>
          <t>HD_H26XENC_RATE_CONTROL param;
param.cbr.bitrate = 8192 * 1024;
hd_videoenc_set(videoenc_path, HD_VIDEOENC_PARAM_OUT_RATE_CONTROL, &amp;param);</t>
        </r>
      </text>
    </comment>
    <comment ref="B113" authorId="0" shapeId="0" xr:uid="{00000000-0006-0000-0100-000087000000}">
      <text>
        <r>
          <rPr>
            <b/>
            <sz val="9"/>
            <color indexed="81"/>
            <rFont val="Tahoma"/>
            <family val="2"/>
          </rPr>
          <t>/* cat /proc/videograph/kflow_videoenc/qp_ratio */
HD_H26XENC_RATE_CONTROL rate_ctrl_param;
rate_ctrl_param.evbr.min_i_qp = 15;  //min qp 15, min compressed rate 0.3
rate_ctrl_param.evbr.min_p_qp = 15;  //min qp 15, min compressed rate 0.3
hd_videoenc_set(videoenc_path, HD_VIDEOENC_PARAM_OUT_RATE_CONTROL, &amp;rate_ctrl_param);</t>
        </r>
      </text>
    </comment>
    <comment ref="C113" authorId="1" shapeId="0" xr:uid="{00000000-0006-0000-0100-000088000000}">
      <text>
        <r>
          <rPr>
            <b/>
            <sz val="9"/>
            <color indexed="81"/>
            <rFont val="Tahoma"/>
            <family val="2"/>
          </rPr>
          <t>According to your qp table, to decide min compression rate by min qp.</t>
        </r>
      </text>
    </comment>
    <comment ref="B114" authorId="0" shapeId="0" xr:uid="{00000000-0006-0000-0100-000089000000}">
      <text>
        <r>
          <rPr>
            <b/>
            <sz val="9"/>
            <color indexed="81"/>
            <rFont val="Tahoma"/>
            <family val="2"/>
          </rPr>
          <t xml:space="preserve">HD_VIDEOENC_PATH_CONFIG enc_config;
enc_config.data_pool[0].counts = HD_VIDEOENC_SET_COUNT(7, 0);
hd_videoenc_set(videoenc_path, HD_VIDEOENC_PARAM_PATH_CONFIG, &amp;enc_config);  </t>
        </r>
      </text>
    </comment>
    <comment ref="A115" authorId="0" shapeId="0" xr:uid="{00000000-0006-0000-0100-00008A000000}">
      <text>
        <r>
          <rPr>
            <b/>
            <sz val="9"/>
            <color indexed="81"/>
            <rFont val="Tahoma"/>
            <family val="2"/>
          </rPr>
          <t>DEC--&gt; XXX--&gt;VPE(scaler)--&gt;(Encode Scaler buffer)--&gt;Encode
CAP--&gt; XXX--&gt;VPE(scaler)--&gt;(Encode Scaler buffer)--&gt;Encode</t>
        </r>
      </text>
    </comment>
    <comment ref="B116" authorId="0" shapeId="0" xr:uid="{00000000-0006-0000-0100-00008B000000}">
      <text>
        <r>
          <rPr>
            <b/>
            <sz val="9"/>
            <color indexed="81"/>
            <rFont val="Tahoma"/>
            <family val="2"/>
          </rPr>
          <t>HD_VIDEOPROC_OUT proc_out;
proc_out.bg.w = 1920;
proc_out.bg.h = 1080;
hd_videoproc_set(videoproc_path, HD_VIDEOPROC_PARAM_OUT, &amp;proc_out);</t>
        </r>
      </text>
    </comment>
    <comment ref="B117" authorId="0" shapeId="0" xr:uid="{00000000-0006-0000-0100-00008C000000}">
      <text>
        <r>
          <rPr>
            <b/>
            <sz val="9"/>
            <color indexed="81"/>
            <rFont val="Tahoma"/>
            <family val="2"/>
          </rPr>
          <t>HD_VIDEOPROC_OUT proc_out;
proc_out.bg.w = 1920;
proc_out.bg.h = 1080;
hd_videoproc_set(videoproc_path, HD_VIDEOPROC_PARAM_OUT, &amp;proc_out);</t>
        </r>
      </text>
    </comment>
    <comment ref="B118" authorId="0" shapeId="0" xr:uid="{00000000-0006-0000-0100-00008D000000}">
      <text>
        <r>
          <rPr>
            <b/>
            <sz val="9"/>
            <color indexed="81"/>
            <rFont val="Tahoma"/>
            <family val="2"/>
          </rPr>
          <t>HD_VIDEOPROC_DEV_CONFIG vpe_config;
vpe_config.data_pool[0].counts = HD_VIDEOPROC_SET_COUNT(4, 0);
hd_videoproc_set(videoproc_path, HD_VIDEOPROC_PARAM_DEV_CONFIG, &amp;vpe_config);</t>
        </r>
      </text>
    </comment>
    <comment ref="B119" authorId="0" shapeId="0" xr:uid="{00000000-0006-0000-0100-00008E000000}">
      <text>
        <r>
          <rPr>
            <b/>
            <sz val="9"/>
            <color indexed="81"/>
            <rFont val="Tahoma"/>
            <family val="2"/>
          </rPr>
          <t>HD_VIDEOPROC_OUT proc_out;
proc_out.pxlfmt = HD_VIDEO_PXLFMT_YUV420_NVX3;
hd_videoproc_set(videoproc_path, HD_VIDEOPROC_PARAM_OUT, &amp;proc_out);</t>
        </r>
      </text>
    </comment>
    <comment ref="C119" authorId="1" shapeId="0" xr:uid="{00000000-0006-0000-0100-00008F000000}">
      <text>
        <r>
          <rPr>
            <b/>
            <sz val="9"/>
            <color indexed="81"/>
            <rFont val="Tahoma"/>
            <family val="2"/>
          </rPr>
          <t>-Pixel  Bytes-
1.5: YUV420 (HD_VIDEO_PXLFMT_YUV420)
2: YUV422 (HD_VIDEO_PXLFMT_YUV422_ONE)
1.125: YUV420 SCE compression
              (HD_VIDEO_PXLFMT_YUV420_NVX3)</t>
        </r>
      </text>
    </comment>
    <comment ref="A120" authorId="0" shapeId="0" xr:uid="{00000000-0006-0000-0100-000090000000}">
      <text>
        <r>
          <rPr>
            <b/>
            <sz val="9"/>
            <color indexed="81"/>
            <rFont val="Tahoma"/>
            <family val="2"/>
          </rPr>
          <t>Videoout(LCD)--&gt;VPE--&gt;(buffers)--&gt;Encode</t>
        </r>
      </text>
    </comment>
    <comment ref="C120" authorId="1" shapeId="0" xr:uid="{00000000-0006-0000-0100-000091000000}">
      <text>
        <r>
          <rPr>
            <b/>
            <sz val="9"/>
            <color indexed="81"/>
            <rFont val="Tahoma"/>
            <family val="2"/>
          </rPr>
          <t xml:space="preserve">0: disable
1: Enable in DDR0
2: Enable in DDR1
</t>
        </r>
      </text>
    </comment>
    <comment ref="B121" authorId="0" shapeId="0" xr:uid="{00000000-0006-0000-0100-000092000000}">
      <text>
        <r>
          <rPr>
            <b/>
            <sz val="9"/>
            <color indexed="81"/>
            <rFont val="Tahoma"/>
            <family val="2"/>
          </rPr>
          <t>HD_VIDEOPROC_OUT proc_out;
proc_out.bg.w = 1920;
proc_out.bg.h = 1080;
hd_videoproc_set(videoproc_path, HD_VIDEOPROC_PARAM_OUT, &amp;proc_out);</t>
        </r>
      </text>
    </comment>
    <comment ref="B122" authorId="0" shapeId="0" xr:uid="{00000000-0006-0000-0100-000093000000}">
      <text>
        <r>
          <rPr>
            <b/>
            <sz val="9"/>
            <color indexed="81"/>
            <rFont val="Tahoma"/>
            <family val="2"/>
          </rPr>
          <t>HD_VIDEOPROC_OUT proc_out;
proc_out.bg.w = 1920;
proc_out.bg.h = 1080;
hd_videoproc_set(videoproc_path, HD_VIDEOPROC_PARAM_OUT, &amp;proc_out);</t>
        </r>
      </text>
    </comment>
    <comment ref="B123" authorId="0" shapeId="0" xr:uid="{00000000-0006-0000-0100-000094000000}">
      <text>
        <r>
          <rPr>
            <b/>
            <sz val="9"/>
            <color indexed="81"/>
            <rFont val="Tahoma"/>
            <family val="2"/>
          </rPr>
          <t>HD_VIDEOPROC_DEV_CONFIG vpe_config;
vpe_config.data_pool[0].counts = HD_VIDEOPROC_SET_COUNT(4, 0);
hd_videoproc_set(videoproc_path, HD_VIDEOPROC_PARAM_DEV_CONFIG, &amp;vpe_config);</t>
        </r>
      </text>
    </comment>
    <comment ref="B124" authorId="0" shapeId="0" xr:uid="{00000000-0006-0000-0100-000095000000}">
      <text>
        <r>
          <rPr>
            <b/>
            <sz val="9"/>
            <color indexed="81"/>
            <rFont val="Tahoma"/>
            <family val="2"/>
          </rPr>
          <t>HD_VIDEOPROC_OUT proc_out;
proc_out.pxlfmt = HD_VIDEO_PXLFMT_YUV420_NVX3;
hd_videoproc_set(videoproc_path, HD_VIDEOPROC_PARAM_OUT, &amp;proc_out);</t>
        </r>
      </text>
    </comment>
    <comment ref="C124" authorId="1" shapeId="0" xr:uid="{00000000-0006-0000-0100-000096000000}">
      <text>
        <r>
          <rPr>
            <b/>
            <sz val="9"/>
            <color indexed="81"/>
            <rFont val="Tahoma"/>
            <family val="2"/>
          </rPr>
          <t>-Pixel  Bytes-
1.5: YUV420 (HD_VIDEO_PXLFMT_YUV420)
2: YUV422 (HD_VIDEO_PXLFMT_YUV422_ONE)
1.125: YUV420 SCE compression
              (HD_VIDEO_PXLFMT_YUV420_NVX3)</t>
        </r>
      </text>
    </comment>
    <comment ref="B125" authorId="0" shapeId="0" xr:uid="{00000000-0006-0000-0100-000097000000}">
      <text>
        <r>
          <rPr>
            <b/>
            <sz val="9"/>
            <color indexed="81"/>
            <rFont val="Tahoma"/>
            <family val="2"/>
          </rPr>
          <t>HD_H26XENC_RATE_CONTROL param;
param.cbr.bitrate = 8192 * 1024;
hd_videoenc_set(videoenc_path, HD_VIDEOENC_PARAM_OUT_RATE_CONTROL, &amp;param);</t>
        </r>
      </text>
    </comment>
    <comment ref="B126" authorId="0" shapeId="0" xr:uid="{00000000-0006-0000-0100-000098000000}">
      <text>
        <r>
          <rPr>
            <b/>
            <sz val="9"/>
            <color indexed="81"/>
            <rFont val="Tahoma"/>
            <family val="2"/>
          </rPr>
          <t>/* cat /proc/videograph/kflow_videoenc/qp_ratio */
HD_H26XENC_RATE_CONTROL rate_ctrl_param;
rate_ctrl_param.evbr.min_i_qp = 15;  //min qp 15, min compressed rate 0.3
rate_ctrl_param.evbr.min_p_qp = 15;  //min qp 15, min compressed rate 0.3
hd_videoenc_set(videoenc_path, HD_VIDEOENC_PARAM_OUT_RATE_CONTROL, &amp;rate_ctrl_param);</t>
        </r>
      </text>
    </comment>
    <comment ref="C126" authorId="1" shapeId="0" xr:uid="{00000000-0006-0000-0100-000099000000}">
      <text>
        <r>
          <rPr>
            <b/>
            <sz val="9"/>
            <color indexed="81"/>
            <rFont val="Tahoma"/>
            <family val="2"/>
          </rPr>
          <t>According to your qp table, to decide min compression rate by min qp.</t>
        </r>
      </text>
    </comment>
    <comment ref="B127" authorId="0" shapeId="0" xr:uid="{00000000-0006-0000-0100-00009A000000}">
      <text>
        <r>
          <rPr>
            <b/>
            <sz val="9"/>
            <color indexed="81"/>
            <rFont val="Tahoma"/>
            <family val="2"/>
          </rPr>
          <t xml:space="preserve">HD_VIDEOENC_PATH_CONFIG enc_config;
enc_config.data_pool[0].counts = HD_VIDEOENC_SET_COUNT(7, 0);
hd_videoenc_set(videoenc_path, HD_VIDEOENC_PARAM_PATH_CONFIG, &amp;enc_config);  </t>
        </r>
      </text>
    </comment>
    <comment ref="B128" authorId="0" shapeId="0" xr:uid="{00000000-0006-0000-0100-00009B000000}">
      <text>
        <r>
          <rPr>
            <b/>
            <sz val="9"/>
            <color indexed="81"/>
            <rFont val="Tahoma"/>
            <family val="2"/>
          </rPr>
          <t>xxx.dts
                audio_in {
                /*&lt;ssp_num&gt;,&lt;enable&gt;,&lt;ssp_chan&gt; */
                        ssp =&lt;0    &gt;,  &lt;1     &gt;,&lt;16      &gt;...
Total enabled channele numbers</t>
        </r>
      </text>
    </comment>
    <comment ref="B129" authorId="0" shapeId="0" xr:uid="{00000000-0006-0000-0100-00009C000000}">
      <text>
        <r>
          <rPr>
            <b/>
            <sz val="9"/>
            <color indexed="81"/>
            <rFont val="Tahoma"/>
            <family val="2"/>
          </rPr>
          <t>HD_AUDIOCAP_IN audiocap_param;
audiocap_param.sample_rate = HD_AUDIO_SR_8000;
audiocap_param.sample_bit = HD_AUDIO_BIT_WIDTH_16;
audiocap_param.mode = HD_AUDIO_SOUND_MODE_MONO;
audiocap_param.frame_sample = 320;
hd_audiocap_set(audiocap_path, HD_AUDIOCAP_PARAM_IN, &amp;audiocap_param);</t>
        </r>
      </text>
    </comment>
    <comment ref="B130" authorId="0" shapeId="0" xr:uid="{00000000-0006-0000-0100-00009D000000}">
      <text>
        <r>
          <rPr>
            <b/>
            <sz val="9"/>
            <color indexed="81"/>
            <rFont val="Tahoma"/>
            <family val="2"/>
          </rPr>
          <t>HD_AUDIOCAP_IN audiocap_param;
audiocap_param.sample_rate = HD_AUDIO_SR_8000;
audiocap_param.sample_bit = HD_AUDIO_BIT_WIDTH_16;
audiocap_param.mode = HD_AUDIO_SOUND_MODE_MONO;
audiocap_param.frame_sample = 320;
hd_audiocap_set(audiocap_path, HD_AUDIOCAP_PARAM_IN, &amp;audiocap_param);</t>
        </r>
      </text>
    </comment>
    <comment ref="C130" authorId="1" shapeId="0" xr:uid="{00000000-0006-0000-0100-00009E000000}">
      <text>
        <r>
          <rPr>
            <b/>
            <sz val="9"/>
            <color indexed="81"/>
            <rFont val="Tahoma"/>
            <family val="2"/>
          </rPr>
          <t>1: mono
2: stereo</t>
        </r>
      </text>
    </comment>
    <comment ref="B131" authorId="0" shapeId="0" xr:uid="{00000000-0006-0000-0100-00009F000000}">
      <text>
        <r>
          <rPr>
            <b/>
            <sz val="9"/>
            <color indexed="81"/>
            <rFont val="Tahoma"/>
            <family val="2"/>
          </rPr>
          <t>HD_AUDIOCAP_IN audiocap_param;
audiocap_param.sample_rate = HD_AUDIO_SR_8000;
audiocap_param.sample_bit = HD_AUDIO_BIT_WIDTH_16;
audiocap_param.mode = HD_AUDIO_SOUND_MODE_MONO;
audiocap_param.frame_sample = 320;
hd_audiocap_set(audiocap_path, HD_AUDIOCAP_PARAM_IN, &amp;audiocap_param);</t>
        </r>
      </text>
    </comment>
    <comment ref="B132" authorId="0" shapeId="0" xr:uid="{00000000-0006-0000-0100-0000A0000000}">
      <text>
        <r>
          <rPr>
            <b/>
            <sz val="9"/>
            <color indexed="81"/>
            <rFont val="Tahoma"/>
            <family val="2"/>
          </rPr>
          <t>HD_AUDIOCAP_IN audiocap_param;
audiocap_param.sample_rate = HD_AUDIO_SR_8000;
audiocap_param.sample_bit = HD_AUDIO_BIT_WIDTH_16;
audiocap_param.mode = HD_AUDIO_SOUND_MODE_MONO;
audiocap_param.frame_sample = 320;
hd_audiocap_set(audiocap_path, HD_AUDIOCAP_PARAM_IN, &amp;audiocap_param);</t>
        </r>
      </text>
    </comment>
    <comment ref="C132" authorId="1" shapeId="0" xr:uid="{00000000-0006-0000-0100-0000A1000000}">
      <text>
        <r>
          <rPr>
            <b/>
            <sz val="9"/>
            <color indexed="81"/>
            <rFont val="Tahoma"/>
            <family val="2"/>
          </rPr>
          <t>Samples per audio frame</t>
        </r>
      </text>
    </comment>
    <comment ref="B133" authorId="0" shapeId="0" xr:uid="{00000000-0006-0000-0100-0000A2000000}">
      <text>
        <r>
          <rPr>
            <b/>
            <sz val="9"/>
            <color indexed="81"/>
            <rFont val="Tahoma"/>
            <family val="2"/>
          </rPr>
          <t>HD_AUDIOCAP_DEV_CONFIG audiocap_config;
audiocap_config.data_pool[0].counts = HD_AUDIOCAP_SET_COUNT(15, 0);
hd_audiocap_set(audiocap_path, HD_AUDIOCAP_PARAM_DEV_CONFIG, &amp;audiocap_config);</t>
        </r>
      </text>
    </comment>
    <comment ref="B134" authorId="0" shapeId="0" xr:uid="{00000000-0006-0000-0100-0000A3000000}">
      <text>
        <r>
          <rPr>
            <b/>
            <sz val="9"/>
            <color indexed="81"/>
            <rFont val="Tahoma"/>
            <family val="2"/>
          </rPr>
          <t>xxx.dts==&gt;
                audio_out {
                        /*&lt;enable&gt;,&lt;resample_ratio&gt;,&lt;playback_chmap&gt; */
               ssp =       &lt;1     &gt;, &lt;1          &gt;,&lt; (-1)         &gt;,
                                &lt;1     &gt;, &lt;6          &gt;,&lt; (-1)         &gt;,
Total enabled channele numbers</t>
        </r>
      </text>
    </comment>
    <comment ref="B135" authorId="0" shapeId="0" xr:uid="{00000000-0006-0000-0100-0000A4000000}">
      <text>
        <r>
          <rPr>
            <b/>
            <sz val="9"/>
            <color indexed="81"/>
            <rFont val="Tahoma"/>
            <family val="2"/>
          </rPr>
          <t>HD_AUDIODEC_IN dec_param;
dec_param.sample_rate = HD_AUDIO_SR_8000;
dec_param.sample_bit = HD_AUDIO_BIT_WIDTH_16;
dec_param.mode = HD_AUDIO_SOUND_MODE_MONO;
hd_audiodec_set(audiodec_path, HD_AUDIODEC_PARAM_IN, &amp;dec_param);</t>
        </r>
      </text>
    </comment>
    <comment ref="B136" authorId="0" shapeId="0" xr:uid="{00000000-0006-0000-0100-0000A5000000}">
      <text>
        <r>
          <rPr>
            <b/>
            <sz val="9"/>
            <color indexed="81"/>
            <rFont val="Tahoma"/>
            <family val="2"/>
          </rPr>
          <t>HD_AUDIODEC_IN dec_param;
dec_param.sample_rate = HD_AUDIO_SR_8000;
dec_param.sample_bit = HD_AUDIO_BIT_WIDTH_16;
dec_param.mode = HD_AUDIO_SOUND_MODE_MONO;
hd_audiodec_set(audiodec_path, HD_AUDIODEC_PARAM_IN, &amp;dec_param);</t>
        </r>
      </text>
    </comment>
    <comment ref="C136" authorId="1" shapeId="0" xr:uid="{00000000-0006-0000-0100-0000A6000000}">
      <text>
        <r>
          <rPr>
            <b/>
            <sz val="9"/>
            <color indexed="81"/>
            <rFont val="Tahoma"/>
            <family val="2"/>
          </rPr>
          <t>1: mono
2: stereo</t>
        </r>
      </text>
    </comment>
    <comment ref="B137" authorId="0" shapeId="0" xr:uid="{00000000-0006-0000-0100-0000A7000000}">
      <text>
        <r>
          <rPr>
            <b/>
            <sz val="9"/>
            <color indexed="81"/>
            <rFont val="Tahoma"/>
            <family val="2"/>
          </rPr>
          <t>HD_AUDIODEC_IN dec_param;
dec_param.sample_rate = HD_AUDIO_SR_8000;
dec_param.sample_bit = HD_AUDIO_BIT_WIDTH_16;
dec_param.mode = HD_AUDIO_SOUND_MODE_MONO;
hd_audiodec_set(audiodec_path, HD_AUDIODEC_PARAM_IN, &amp;dec_param);</t>
        </r>
      </text>
    </comment>
    <comment ref="B138" authorId="0" shapeId="0" xr:uid="{00000000-0006-0000-0100-0000A8000000}">
      <text>
        <r>
          <rPr>
            <b/>
            <sz val="9"/>
            <color indexed="81"/>
            <rFont val="Tahoma"/>
            <family val="2"/>
          </rPr>
          <t xml:space="preserve">HD_AUDIODEC_PATH_CONFIG config;
config.data_pool[0].frame_sample_size = 2048; //frame_samples * sample_width / 8
hd_audiodec_set(audiodec_path, HD_AUDIODEC_PARAM_PATH_CONFIG, &amp;config);
</t>
        </r>
      </text>
    </comment>
    <comment ref="C138" authorId="1" shapeId="0" xr:uid="{00000000-0006-0000-0100-0000A9000000}">
      <text>
        <r>
          <rPr>
            <b/>
            <sz val="9"/>
            <color indexed="81"/>
            <rFont val="Tahoma"/>
            <family val="2"/>
          </rPr>
          <t>Samples per audio frame</t>
        </r>
      </text>
    </comment>
    <comment ref="B139" authorId="0" shapeId="0" xr:uid="{00000000-0006-0000-0100-0000AA000000}">
      <text>
        <r>
          <rPr>
            <b/>
            <sz val="9"/>
            <color indexed="81"/>
            <rFont val="Tahoma"/>
            <family val="2"/>
          </rPr>
          <t>HD_AUDIODEC_PATH_CONFIG audiodec_config;
audiodec_config.data_pool[0].counts = HD_AUDIODEC_SET_COUNT(10, 0);
hd_audiodec_set(audiodec_path, HD_AUDIODEC_PARAM_PATH_CONFIG, &amp;audiodec_config);</t>
        </r>
      </text>
    </comment>
    <comment ref="A141" authorId="0" shapeId="0" xr:uid="{00000000-0006-0000-0100-0000AB000000}">
      <text>
        <r>
          <rPr>
            <b/>
            <sz val="9"/>
            <color indexed="81"/>
            <rFont val="Tahoma"/>
            <family val="2"/>
          </rPr>
          <t>OSG pattern buffers for encode OSG or display OSG</t>
        </r>
      </text>
    </comment>
    <comment ref="A142" authorId="0" shapeId="0" xr:uid="{00000000-0006-0000-0100-0000AC000000}">
      <text>
        <r>
          <rPr>
            <b/>
            <sz val="9"/>
            <color indexed="81"/>
            <rFont val="Tahoma"/>
            <family val="2"/>
          </rPr>
          <t>For User AP Usage:
HD_COMMON_MEM_VB_BLK blk;
blk = hd_common_mem_get_block(HD_COMMON_MEM_USER_BLK, blk_size, ddr);
addr = hd_common_mem_blk2pa(blk);
hd_common_mem_release_block(blk);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Schumy Chen(陳逸青)</author>
    <author>Ivan Wang(王仁毅)</author>
  </authors>
  <commentList>
    <comment ref="A3" authorId="0" shapeId="0" xr:uid="{00000000-0006-0000-0200-000001000000}">
      <text>
        <r>
          <rPr>
            <sz val="9"/>
            <color indexed="81"/>
            <rFont val="Tahoma"/>
            <family val="2"/>
          </rPr>
          <t>This is the temporary buffer pool used by HDAL framework while memory layout is changed.
If you want to get memory, you should create your own pool (such as using HD_COMMON_MEM_USER_BLK).</t>
        </r>
      </text>
    </comment>
    <comment ref="B3" authorId="1" shapeId="0" xr:uid="{00000000-0006-0000-0200-000002000000}">
      <text>
        <r>
          <rPr>
            <b/>
            <sz val="9"/>
            <color indexed="81"/>
            <rFont val="Tahoma"/>
            <family val="2"/>
          </rPr>
          <t>(enc_cap_out+enc_out+dec_out)* 10% with dec/cap buffer alignment</t>
        </r>
      </text>
    </comment>
    <comment ref="A4" authorId="0" shapeId="0" xr:uid="{00000000-0006-0000-0200-000003000000}">
      <text>
        <r>
          <rPr>
            <sz val="9"/>
            <color indexed="81"/>
            <rFont val="Tahoma"/>
            <family val="2"/>
          </rPr>
          <t>This pool is to put incoming bitstream data which is sent from user app in the playback flow.
See the tab "Video Flow" in this excel to know its role in the flow mode.</t>
        </r>
      </text>
    </comment>
    <comment ref="A5" authorId="0" shapeId="0" xr:uid="{00000000-0006-0000-0200-000004000000}">
      <text>
        <r>
          <rPr>
            <sz val="9"/>
            <color indexed="81"/>
            <rFont val="Tahoma"/>
            <family val="2"/>
          </rPr>
          <t>This pool is used to put the decoder's output YUV buffer).
See the tab "Video Flow" in this excel to know its role in the flow mode.</t>
        </r>
      </text>
    </comment>
    <comment ref="A6" authorId="0" shapeId="0" xr:uid="{00000000-0006-0000-0200-000005000000}">
      <text>
        <r>
          <rPr>
            <sz val="9"/>
            <color indexed="81"/>
            <rFont val="Tahoma"/>
            <family val="2"/>
          </rPr>
          <t>This pool is used as the decoder's YUV buffer (extra-output).
See the tab "Video Flow" in this excel to know its role in the flow mode.</t>
        </r>
      </text>
    </comment>
    <comment ref="A7" authorId="0" shapeId="0" xr:uid="{00000000-0006-0000-0200-000006000000}">
      <text>
        <r>
          <rPr>
            <sz val="9"/>
            <color indexed="81"/>
            <rFont val="Tahoma"/>
            <family val="2"/>
          </rPr>
          <t xml:space="preserve">This is used by H265 decoder for TILE feature.
</t>
        </r>
      </text>
    </comment>
    <comment ref="B7" authorId="1" shapeId="0" xr:uid="{00000000-0006-0000-0200-000007000000}">
      <text>
        <r>
          <rPr>
            <b/>
            <sz val="9"/>
            <color indexed="81"/>
            <rFont val="Tahoma"/>
            <family val="2"/>
          </rPr>
          <t>H265 internal usage = max bs size x 2</t>
        </r>
      </text>
    </comment>
    <comment ref="A8" authorId="0" shapeId="0" xr:uid="{00000000-0006-0000-0200-000008000000}">
      <text>
        <r>
          <rPr>
            <sz val="9"/>
            <color indexed="81"/>
            <rFont val="Tahoma"/>
            <family val="2"/>
          </rPr>
          <t>This pool is used to put capture's output YUV buffer for encode flow.
See the tab "Video Flow" in this excel to know its role in the flow mode.</t>
        </r>
      </text>
    </comment>
    <comment ref="A9" authorId="0" shapeId="0" xr:uid="{00000000-0006-0000-0200-000009000000}">
      <text>
        <r>
          <rPr>
            <sz val="9"/>
            <color indexed="81"/>
            <rFont val="Tahoma"/>
            <family val="2"/>
          </rPr>
          <t>This pool is used for encoder outputting bitstream data.
See the tab "Video Flow" in this excel to know its role in the flow mode.</t>
        </r>
      </text>
    </comment>
    <comment ref="A10" authorId="0" shapeId="0" xr:uid="{00000000-0006-0000-0200-00000A000000}">
      <text>
        <r>
          <rPr>
            <sz val="9"/>
            <color indexed="81"/>
            <rFont val="Tahoma"/>
            <family val="2"/>
          </rPr>
          <t>The encoder's reference buffers are put here. (For main encode 1)</t>
        </r>
      </text>
    </comment>
    <comment ref="A11" authorId="0" shapeId="0" xr:uid="{00000000-0006-0000-0200-00000B000000}">
      <text>
        <r>
          <rPr>
            <sz val="9"/>
            <color indexed="81"/>
            <rFont val="Tahoma"/>
            <family val="2"/>
          </rPr>
          <t>The encoder's TMNR buffers are put here. (For main encode 1)</t>
        </r>
      </text>
    </comment>
    <comment ref="A12" authorId="0" shapeId="0" xr:uid="{00000000-0006-0000-0200-00000C000000}">
      <text>
        <r>
          <rPr>
            <sz val="9"/>
            <color indexed="81"/>
            <rFont val="Tahoma"/>
            <family val="2"/>
          </rPr>
          <t>The encoder's reference buffers are put here. (For main encode 2)</t>
        </r>
      </text>
    </comment>
    <comment ref="A13" authorId="0" shapeId="0" xr:uid="{00000000-0006-0000-0200-00000D000000}">
      <text>
        <r>
          <rPr>
            <sz val="9"/>
            <color indexed="81"/>
            <rFont val="Tahoma"/>
            <family val="2"/>
          </rPr>
          <t>The encoder's TMNR buffers are put here. (For main encode 2)</t>
        </r>
      </text>
    </comment>
    <comment ref="A14" authorId="1" shapeId="0" xr:uid="{00000000-0006-0000-0200-00000E000000}">
      <text>
        <r>
          <rPr>
            <sz val="9"/>
            <color indexed="81"/>
            <rFont val="Tahoma"/>
            <family val="2"/>
          </rPr>
          <t>The encoder's reference buffers are put here. (Substream &amp; dispEnc share this memory)</t>
        </r>
      </text>
    </comment>
    <comment ref="A15" authorId="1" shapeId="0" xr:uid="{00000000-0006-0000-0200-00000F000000}">
      <text>
        <r>
          <rPr>
            <sz val="9"/>
            <color indexed="81"/>
            <rFont val="Tahoma"/>
            <family val="2"/>
          </rPr>
          <t>The encoder's TMNR buffers are put here. (Substream &amp; dispEnc share this memory)</t>
        </r>
      </text>
    </comment>
    <comment ref="A16" authorId="0" shapeId="0" xr:uid="{00000000-0006-0000-0200-000010000000}">
      <text>
        <r>
          <rPr>
            <sz val="9"/>
            <color indexed="81"/>
            <rFont val="Tahoma"/>
            <family val="2"/>
          </rPr>
          <t>This pool is used to put vpe's(videoprocess) output for scaling image in the encode flow. That may be used in normal encode or display encode.
See the tab "Video Flow" in this excel to know its role in the flow mode.</t>
        </r>
      </text>
    </comment>
    <comment ref="A17" authorId="0" shapeId="0" xr:uid="{00000000-0006-0000-0200-000011000000}">
      <text>
        <r>
          <rPr>
            <sz val="9"/>
            <color indexed="81"/>
            <rFont val="Tahoma"/>
            <family val="2"/>
          </rPr>
          <t>This is capture's output YUV in the liveview flow on the primary LCD.
See the tab "Video Flow" in this excel to know its role in the flow mode.</t>
        </r>
      </text>
    </comment>
    <comment ref="B17" authorId="1" shapeId="0" xr:uid="{00000000-0006-0000-0200-000012000000}">
      <text>
        <r>
          <rPr>
            <b/>
            <sz val="9"/>
            <color indexed="81"/>
            <rFont val="Tahoma"/>
            <family val="2"/>
          </rPr>
          <t>It can shared to use DEC_OUT_POOL</t>
        </r>
      </text>
    </comment>
    <comment ref="A18" authorId="0" shapeId="0" xr:uid="{00000000-0006-0000-0200-000013000000}">
      <text>
        <r>
          <rPr>
            <sz val="9"/>
            <color indexed="81"/>
            <rFont val="Tahoma"/>
            <family val="2"/>
          </rPr>
          <t>This is the YUV video buffer for primary LCD fb0.
See the tab "Video Flow" in this excel to know its role in the flow mode.</t>
        </r>
      </text>
    </comment>
    <comment ref="A19" authorId="0" shapeId="0" xr:uid="{00000000-0006-0000-0200-000014000000}">
      <text>
        <r>
          <rPr>
            <sz val="9"/>
            <color indexed="81"/>
            <rFont val="Tahoma"/>
            <family val="2"/>
          </rPr>
          <t>This is the display buffer for fb1(GUI), fb2(other) and RLE buffer.
RLE(Run Length Encode) buffer is required only when RLE function is enabled; that can reduce the usage of bandwidth.</t>
        </r>
      </text>
    </comment>
    <comment ref="A20" authorId="0" shapeId="0" xr:uid="{00000000-0006-0000-0200-000015000000}">
      <text>
        <r>
          <rPr>
            <sz val="9"/>
            <color indexed="81"/>
            <rFont val="Tahoma"/>
            <family val="2"/>
          </rPr>
          <t>This is capture's output YUV in the liveview flow on the secondary LCD.
See the tab "Video Flow" in this excel to know its role in the flow mode.</t>
        </r>
      </text>
    </comment>
    <comment ref="A21" authorId="0" shapeId="0" xr:uid="{00000000-0006-0000-0200-000016000000}">
      <text>
        <r>
          <rPr>
            <sz val="9"/>
            <color indexed="81"/>
            <rFont val="Tahoma"/>
            <family val="2"/>
          </rPr>
          <t>This is the YUV video buffer for secondary LCD fb3.
See the tab "Video Flow" in this excel to know its role in the flow mode.</t>
        </r>
      </text>
    </comment>
    <comment ref="A22" authorId="0" shapeId="0" xr:uid="{00000000-0006-0000-0200-000017000000}">
      <text>
        <r>
          <rPr>
            <sz val="9"/>
            <color indexed="81"/>
            <rFont val="Tahoma"/>
            <family val="2"/>
          </rPr>
          <t>This is the display buffer for fb4(GUI), fb5(other use).</t>
        </r>
      </text>
    </comment>
    <comment ref="A23" authorId="0" shapeId="0" xr:uid="{00000000-0006-0000-0200-000018000000}">
      <text>
        <r>
          <rPr>
            <sz val="9"/>
            <color indexed="81"/>
            <rFont val="Tahoma"/>
            <family val="2"/>
          </rPr>
          <t>This is capture's output YUV in the liveview flow on the tertiary LCD.
See the tab "Video Flow" in this excel to know its role in the flow mode.</t>
        </r>
      </text>
    </comment>
    <comment ref="A24" authorId="0" shapeId="0" xr:uid="{00000000-0006-0000-0200-000019000000}">
      <text>
        <r>
          <rPr>
            <sz val="9"/>
            <color indexed="81"/>
            <rFont val="Tahoma"/>
            <family val="2"/>
          </rPr>
          <t>This is the YUV video buffer for tertiary LCD fb6.
See the tab "Video Flow" in this excel to know its role in the flow mode.</t>
        </r>
      </text>
    </comment>
    <comment ref="A25" authorId="0" shapeId="0" xr:uid="{00000000-0006-0000-0200-00001A000000}">
      <text>
        <r>
          <rPr>
            <sz val="9"/>
            <color indexed="81"/>
            <rFont val="Tahoma"/>
            <family val="2"/>
          </rPr>
          <t>This is the display buffer for fb7(GUI), fb8(other use).</t>
        </r>
      </text>
    </comment>
    <comment ref="A26" authorId="0" shapeId="0" xr:uid="{00000000-0006-0000-0200-00001B000000}">
      <text>
        <r>
          <rPr>
            <sz val="9"/>
            <color indexed="81"/>
            <rFont val="Tahoma"/>
            <family val="2"/>
          </rPr>
          <t>This pool is used to put the incoming PCM data received from audio device in the audio encode flow.
See the tab "Video Flow" in this excel to know its role in the flow mode.</t>
        </r>
      </text>
    </comment>
    <comment ref="A27" authorId="0" shapeId="0" xr:uid="{00000000-0006-0000-0200-00001C000000}">
      <text>
        <r>
          <rPr>
            <sz val="9"/>
            <color indexed="81"/>
            <rFont val="Tahoma"/>
            <family val="2"/>
          </rPr>
          <t>This pool is used to put the outgoing PCM data sent by the user in the audio playback flow.
See the tab "Video Flow" in this excel to know its role in the flow mode.</t>
        </r>
      </text>
    </comment>
    <comment ref="A28" authorId="1" shapeId="0" xr:uid="{00000000-0006-0000-0200-00001D000000}">
      <text>
        <r>
          <rPr>
            <sz val="9"/>
            <color indexed="81"/>
            <rFont val="Tahoma"/>
            <family val="2"/>
          </rPr>
          <t>This pool is used when Motion Detection for liveview capture.</t>
        </r>
      </text>
    </comment>
    <comment ref="A29" authorId="0" shapeId="0" xr:uid="{00000000-0006-0000-0200-00001E000000}">
      <text>
        <r>
          <rPr>
            <sz val="9"/>
            <color indexed="81"/>
            <rFont val="Tahoma"/>
            <family val="2"/>
          </rPr>
          <t>This pool is used to put TMNR internal data.</t>
        </r>
      </text>
    </comment>
    <comment ref="B29" authorId="1" shapeId="0" xr:uid="{00000000-0006-0000-0200-00001F000000}">
      <text>
        <r>
          <rPr>
            <b/>
            <sz val="9"/>
            <color indexed="81"/>
            <rFont val="Tahoma"/>
            <family val="2"/>
          </rPr>
          <t>Fixed value 1024KB</t>
        </r>
      </text>
    </comment>
    <comment ref="A30" authorId="0" shapeId="0" xr:uid="{00000000-0006-0000-0200-000020000000}">
      <text>
        <r>
          <rPr>
            <sz val="9"/>
            <color indexed="81"/>
            <rFont val="Tahoma"/>
            <family val="2"/>
          </rPr>
          <t>If running AI CNN, you may need this dedicatd buffer.</t>
        </r>
      </text>
    </comment>
    <comment ref="B30" authorId="1" shapeId="0" xr:uid="{00000000-0006-0000-0200-000021000000}">
      <text>
        <r>
          <rPr>
            <b/>
            <sz val="9"/>
            <color indexed="81"/>
            <rFont val="Tahoma"/>
            <family val="2"/>
          </rPr>
          <t>Memory used for hwCNN engine</t>
        </r>
      </text>
    </comment>
    <comment ref="F30" authorId="1" shapeId="0" xr:uid="{00000000-0006-0000-0200-000022000000}">
      <text>
        <r>
          <rPr>
            <b/>
            <sz val="9"/>
            <color indexed="81"/>
            <rFont val="Tahoma"/>
            <family val="2"/>
          </rPr>
          <t>Memory used for hwCNN engine</t>
        </r>
      </text>
    </comment>
    <comment ref="A31" authorId="0" shapeId="0" xr:uid="{00000000-0006-0000-0200-000023000000}">
      <text>
        <r>
          <rPr>
            <sz val="9"/>
            <color indexed="81"/>
            <rFont val="Tahoma"/>
            <family val="2"/>
          </rPr>
          <t>If running OSG function, you may need this dedicatd buffer.</t>
        </r>
      </text>
    </comment>
    <comment ref="B31" authorId="1" shapeId="0" xr:uid="{00000000-0006-0000-0200-000024000000}">
      <text>
        <r>
          <rPr>
            <b/>
            <sz val="9"/>
            <color indexed="81"/>
            <rFont val="Tahoma"/>
            <family val="2"/>
          </rPr>
          <t>User definied size for OSG memory</t>
        </r>
        <r>
          <rPr>
            <sz val="9"/>
            <color indexed="81"/>
            <rFont val="Tahoma"/>
            <family val="2"/>
          </rPr>
          <t xml:space="preserve">
</t>
        </r>
      </text>
    </comment>
    <comment ref="F31" authorId="1" shapeId="0" xr:uid="{00000000-0006-0000-0200-000025000000}">
      <text>
        <r>
          <rPr>
            <b/>
            <sz val="9"/>
            <color indexed="81"/>
            <rFont val="Tahoma"/>
            <family val="2"/>
          </rPr>
          <t>User definied size for OSG memory</t>
        </r>
        <r>
          <rPr>
            <sz val="9"/>
            <color indexed="81"/>
            <rFont val="Tahoma"/>
            <family val="2"/>
          </rPr>
          <t xml:space="preserve">
</t>
        </r>
      </text>
    </comment>
    <comment ref="A32" authorId="0" shapeId="0" xr:uid="{00000000-0006-0000-0200-000026000000}">
      <text>
        <r>
          <rPr>
            <sz val="9"/>
            <color indexed="81"/>
            <rFont val="Tahoma"/>
            <family val="2"/>
          </rPr>
          <t xml:space="preserve">This pool is dedicated used for user purpose. </t>
        </r>
      </text>
    </comment>
    <comment ref="B32" authorId="1" shapeId="0" xr:uid="{00000000-0006-0000-0200-000027000000}">
      <text>
        <r>
          <rPr>
            <b/>
            <sz val="9"/>
            <color indexed="81"/>
            <rFont val="Tahoma"/>
            <family val="2"/>
          </rPr>
          <t>User definied memory for AP usage</t>
        </r>
      </text>
    </comment>
    <comment ref="D32" authorId="1" shapeId="0" xr:uid="{00000000-0006-0000-0200-000028000000}">
      <text>
        <r>
          <rPr>
            <b/>
            <sz val="9"/>
            <color indexed="81"/>
            <rFont val="Tahoma"/>
            <family val="2"/>
          </rPr>
          <t>User memory, not included in total size</t>
        </r>
        <r>
          <rPr>
            <sz val="9"/>
            <color indexed="81"/>
            <rFont val="Tahoma"/>
            <family val="2"/>
          </rPr>
          <t xml:space="preserve">
</t>
        </r>
      </text>
    </comment>
    <comment ref="F32" authorId="1" shapeId="0" xr:uid="{00000000-0006-0000-0200-000029000000}">
      <text>
        <r>
          <rPr>
            <b/>
            <sz val="9"/>
            <color indexed="81"/>
            <rFont val="Tahoma"/>
            <family val="2"/>
          </rPr>
          <t>User definied memory for AP usage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Ivan Wang(王仁毅)</author>
  </authors>
  <commentList>
    <comment ref="D5" authorId="0" shapeId="0" xr:uid="{00000000-0006-0000-0400-000001000000}">
      <text>
        <r>
          <rPr>
            <b/>
            <sz val="9"/>
            <color indexed="81"/>
            <rFont val="Tahoma"/>
            <family val="2"/>
          </rPr>
          <t>NVR may not support</t>
        </r>
      </text>
    </comment>
    <comment ref="G11" authorId="0" shapeId="0" xr:uid="{00000000-0006-0000-0400-000002000000}">
      <text>
        <r>
          <rPr>
            <b/>
            <sz val="9"/>
            <color indexed="81"/>
            <rFont val="Tahoma"/>
            <family val="2"/>
          </rPr>
          <t>321/636 supports output format YUV420 SCE</t>
        </r>
      </text>
    </comment>
    <comment ref="D28" authorId="0" shapeId="0" xr:uid="{00000000-0006-0000-0400-000003000000}">
      <text>
        <r>
          <rPr>
            <b/>
            <sz val="9"/>
            <color indexed="81"/>
            <rFont val="Tahoma"/>
            <family val="2"/>
          </rPr>
          <t>NVR may not support</t>
        </r>
      </text>
    </comment>
    <comment ref="G34" authorId="0" shapeId="0" xr:uid="{00000000-0006-0000-0400-000004000000}">
      <text>
        <r>
          <rPr>
            <b/>
            <sz val="9"/>
            <color indexed="81"/>
            <rFont val="Tahoma"/>
            <family val="2"/>
          </rPr>
          <t>321/636 supports output format YUV420 SCE</t>
        </r>
      </text>
    </comment>
    <comment ref="D51" authorId="0" shapeId="0" xr:uid="{00000000-0006-0000-0400-000005000000}">
      <text>
        <r>
          <rPr>
            <b/>
            <sz val="9"/>
            <color indexed="81"/>
            <rFont val="Tahoma"/>
            <family val="2"/>
          </rPr>
          <t>NVR may not support</t>
        </r>
      </text>
    </comment>
    <comment ref="G57" authorId="0" shapeId="0" xr:uid="{00000000-0006-0000-0400-000006000000}">
      <text>
        <r>
          <rPr>
            <b/>
            <sz val="9"/>
            <color indexed="81"/>
            <rFont val="Tahoma"/>
            <family val="2"/>
          </rPr>
          <t>321/636 supports output format YUV420 SCE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Ivan Wang(王仁毅)</author>
  </authors>
  <commentList>
    <comment ref="B9" authorId="0" shapeId="0" xr:uid="{00000000-0006-0000-0500-000001000000}">
      <text>
        <r>
          <rPr>
            <b/>
            <sz val="9"/>
            <color indexed="81"/>
            <rFont val="Tahoma"/>
            <family val="2"/>
          </rPr>
          <t>YUV420:1.5 YUV422:2</t>
        </r>
      </text>
    </comment>
    <comment ref="B12" authorId="0" shapeId="0" xr:uid="{00000000-0006-0000-0500-000002000000}">
      <text>
        <r>
          <rPr>
            <b/>
            <sz val="9"/>
            <color indexed="81"/>
            <rFont val="Tahoma"/>
            <family val="2"/>
          </rPr>
          <t xml:space="preserve">basic = 1
ltr +1
svc4x +1
</t>
        </r>
      </text>
    </comment>
    <comment ref="A18" authorId="0" shapeId="0" xr:uid="{00000000-0006-0000-0500-000003000000}">
      <text>
        <r>
          <rPr>
            <b/>
            <sz val="9"/>
            <color indexed="81"/>
            <rFont val="Tahoma"/>
            <family val="2"/>
          </rPr>
          <t>always YUV420 to calculate reference buffers</t>
        </r>
      </text>
    </comment>
    <comment ref="C18" authorId="0" shapeId="0" xr:uid="{00000000-0006-0000-0500-000004000000}">
      <text>
        <r>
          <rPr>
            <b/>
            <sz val="9"/>
            <color indexed="81"/>
            <rFont val="Tahoma"/>
            <family val="2"/>
          </rPr>
          <t>31x:align(w,64)*align(h,64)*1.5*1.06
32x:align(w,64)*align(h,64)*1.5*1.06
336:align(w,64)*align(h,64)*1.5*1.1</t>
        </r>
      </text>
    </comment>
    <comment ref="A21" authorId="0" shapeId="0" xr:uid="{00000000-0006-0000-0500-000005000000}">
      <text>
        <r>
          <rPr>
            <b/>
            <sz val="9"/>
            <color indexed="81"/>
            <rFont val="Tahoma"/>
            <family val="2"/>
          </rPr>
          <t>always use YUV420 to calculate
313: Reference buffer
321: Reference buffer x 0.75</t>
        </r>
      </text>
    </comment>
    <comment ref="C21" authorId="0" shapeId="0" xr:uid="{00000000-0006-0000-0500-000006000000}">
      <text>
        <r>
          <rPr>
            <b/>
            <sz val="9"/>
            <color indexed="81"/>
            <rFont val="Tahoma"/>
            <family val="2"/>
          </rPr>
          <t>31x:align(w,64)*align(h,64)*1.5*1.06
32x:align(w,128)*align(h,64)*1.5*0.76
336:align(w,128)*align(h,64)*1.5*0.76</t>
        </r>
      </text>
    </comment>
    <comment ref="B30" authorId="0" shapeId="0" xr:uid="{00000000-0006-0000-0500-000007000000}">
      <text>
        <r>
          <rPr>
            <b/>
            <sz val="9"/>
            <color indexed="81"/>
            <rFont val="Tahoma"/>
            <family val="2"/>
          </rPr>
          <t>YUV420:1.5 YUV422:2</t>
        </r>
      </text>
    </comment>
    <comment ref="B33" authorId="0" shapeId="0" xr:uid="{00000000-0006-0000-0500-000008000000}">
      <text>
        <r>
          <rPr>
            <b/>
            <sz val="9"/>
            <color indexed="81"/>
            <rFont val="Tahoma"/>
            <family val="2"/>
          </rPr>
          <t xml:space="preserve">basic = 1
ltr +1
svc4x +1
</t>
        </r>
      </text>
    </comment>
    <comment ref="A39" authorId="0" shapeId="0" xr:uid="{00000000-0006-0000-0500-000009000000}">
      <text>
        <r>
          <rPr>
            <b/>
            <sz val="9"/>
            <color indexed="81"/>
            <rFont val="Tahoma"/>
            <family val="2"/>
          </rPr>
          <t>always YUV420 to calculate reference buffers</t>
        </r>
      </text>
    </comment>
    <comment ref="C39" authorId="0" shapeId="0" xr:uid="{00000000-0006-0000-0500-00000A000000}">
      <text>
        <r>
          <rPr>
            <b/>
            <sz val="9"/>
            <color indexed="81"/>
            <rFont val="Tahoma"/>
            <family val="2"/>
          </rPr>
          <t>31x:align(w,64)*align(h,64)*1.5*1.06
32x:align(w,64)*align(h,64)*1.5*1.06
336:align(w,64)*align(h,64)*1.5*1.1</t>
        </r>
      </text>
    </comment>
    <comment ref="A42" authorId="0" shapeId="0" xr:uid="{00000000-0006-0000-0500-00000B000000}">
      <text>
        <r>
          <rPr>
            <b/>
            <sz val="9"/>
            <color indexed="81"/>
            <rFont val="Tahoma"/>
            <family val="2"/>
          </rPr>
          <t>always use YUV420 to calculate
313: Reference buffer
321: Reference buffer x 0.75</t>
        </r>
      </text>
    </comment>
    <comment ref="C42" authorId="0" shapeId="0" xr:uid="{00000000-0006-0000-0500-00000C000000}">
      <text>
        <r>
          <rPr>
            <b/>
            <sz val="9"/>
            <color indexed="81"/>
            <rFont val="Tahoma"/>
            <family val="2"/>
          </rPr>
          <t>31x:align(w,64)*align(h,64)*1.5*1.06
32x:align(w,128)*align(h,64)*1.5*0.76
336:align(w,128)*align(h,64)*1.5*0.76</t>
        </r>
      </text>
    </comment>
    <comment ref="B51" authorId="0" shapeId="0" xr:uid="{00000000-0006-0000-0500-00000D000000}">
      <text>
        <r>
          <rPr>
            <b/>
            <sz val="9"/>
            <color indexed="81"/>
            <rFont val="Tahoma"/>
            <family val="2"/>
          </rPr>
          <t>YUV420:1.5 YUV422:2</t>
        </r>
      </text>
    </comment>
    <comment ref="B56" authorId="0" shapeId="0" xr:uid="{00000000-0006-0000-0500-00000E000000}">
      <text>
        <r>
          <rPr>
            <b/>
            <sz val="9"/>
            <color indexed="81"/>
            <rFont val="Tahoma"/>
            <family val="2"/>
          </rPr>
          <t xml:space="preserve">basic = 1
ltr +1
svc4x +1
</t>
        </r>
      </text>
    </comment>
    <comment ref="A60" authorId="0" shapeId="0" xr:uid="{00000000-0006-0000-0500-00000F000000}">
      <text>
        <r>
          <rPr>
            <b/>
            <sz val="9"/>
            <color indexed="81"/>
            <rFont val="Tahoma"/>
            <family val="2"/>
          </rPr>
          <t>always YUV420 to calculate reference buffers</t>
        </r>
      </text>
    </comment>
    <comment ref="C60" authorId="0" shapeId="0" xr:uid="{00000000-0006-0000-0500-000010000000}">
      <text>
        <r>
          <rPr>
            <b/>
            <sz val="9"/>
            <color indexed="81"/>
            <rFont val="Tahoma"/>
            <family val="2"/>
          </rPr>
          <t>31x:align(w,64)*align(h,64)*1.5*1.06
32x:align(w,64)*align(h,64)*1.5*1.06
336:align(w,64)*align(h,64)*1.5*1.1</t>
        </r>
      </text>
    </comment>
    <comment ref="A63" authorId="0" shapeId="0" xr:uid="{00000000-0006-0000-0500-000011000000}">
      <text>
        <r>
          <rPr>
            <b/>
            <sz val="9"/>
            <color indexed="81"/>
            <rFont val="Tahoma"/>
            <family val="2"/>
          </rPr>
          <t>always use YUV420 to calculate
313: Reference buffer
321: Reference buffer x 0.75</t>
        </r>
      </text>
    </comment>
    <comment ref="C63" authorId="0" shapeId="0" xr:uid="{00000000-0006-0000-0500-000012000000}">
      <text>
        <r>
          <rPr>
            <b/>
            <sz val="9"/>
            <color indexed="81"/>
            <rFont val="Tahoma"/>
            <family val="2"/>
          </rPr>
          <t>31x:align(w,64)*align(h,64)*1.5*1.06
32x:align(w,128)*align(h,64)*1.5*0.76
336:align(w,128)*align(h,64)*1.5*0.76</t>
        </r>
      </text>
    </comment>
    <comment ref="B80" authorId="0" shapeId="0" xr:uid="{00000000-0006-0000-0500-000013000000}">
      <text>
        <r>
          <rPr>
            <b/>
            <sz val="9"/>
            <color indexed="81"/>
            <rFont val="Tahoma"/>
            <family val="2"/>
          </rPr>
          <t>YUV420:1.5 YUV422:2</t>
        </r>
      </text>
    </comment>
    <comment ref="B82" authorId="0" shapeId="0" xr:uid="{00000000-0006-0000-0500-000014000000}">
      <text>
        <r>
          <rPr>
            <b/>
            <sz val="9"/>
            <color indexed="81"/>
            <rFont val="Tahoma"/>
            <family val="2"/>
          </rPr>
          <t>YUV420:1.5
YUV422:2
YUV420(SCE):1.125</t>
        </r>
      </text>
    </comment>
    <comment ref="C82" authorId="0" shapeId="0" xr:uid="{00000000-0006-0000-0500-000015000000}">
      <text>
        <r>
          <rPr>
            <sz val="9"/>
            <color indexed="81"/>
            <rFont val="Tahoma"/>
            <family val="2"/>
          </rPr>
          <t>32x/636 support YUV420 SCE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Ivan Wang(王仁毅)</author>
  </authors>
  <commentList>
    <comment ref="B8" authorId="0" shapeId="0" xr:uid="{00000000-0006-0000-0600-000001000000}">
      <text>
        <r>
          <rPr>
            <b/>
            <sz val="9"/>
            <color indexed="81"/>
            <rFont val="Tahoma"/>
            <family val="2"/>
          </rPr>
          <t>1.5: 636 YUV420 LLC format</t>
        </r>
      </text>
    </comment>
    <comment ref="B9" authorId="0" shapeId="0" xr:uid="{00000000-0006-0000-0600-000002000000}">
      <text>
        <r>
          <rPr>
            <b/>
            <sz val="9"/>
            <color indexed="81"/>
            <rFont val="Tahoma"/>
            <family val="2"/>
          </rPr>
          <t>Higher resolution may use lower value</t>
        </r>
      </text>
    </comment>
    <comment ref="A13" authorId="0" shapeId="0" xr:uid="{00000000-0006-0000-0600-000003000000}">
      <text>
        <r>
          <rPr>
            <b/>
            <sz val="9"/>
            <color indexed="81"/>
            <rFont val="Tahoma"/>
            <family val="2"/>
          </rPr>
          <t>321 needn't BS info</t>
        </r>
      </text>
    </comment>
    <comment ref="B13" authorId="0" shapeId="0" xr:uid="{00000000-0006-0000-0600-000004000000}">
      <text>
        <r>
          <rPr>
            <b/>
            <sz val="9"/>
            <color indexed="81"/>
            <rFont val="Tahoma"/>
            <family val="2"/>
          </rPr>
          <t>Max MB size &amp; BS info:
265 :  ALIGN(w , 64) * ALIGN(h , 64)/16
264 :  Not Needed</t>
        </r>
      </text>
    </comment>
    <comment ref="A19" authorId="0" shapeId="0" xr:uid="{00000000-0006-0000-0600-000005000000}">
      <text>
        <r>
          <rPr>
            <b/>
            <sz val="9"/>
            <color indexed="81"/>
            <rFont val="Tahoma"/>
            <family val="2"/>
          </rPr>
          <t>YUV420 SCE</t>
        </r>
      </text>
    </comment>
    <comment ref="C21" authorId="0" shapeId="0" xr:uid="{00000000-0006-0000-0600-000006000000}">
      <text>
        <r>
          <rPr>
            <b/>
            <sz val="9"/>
            <color indexed="81"/>
            <rFont val="Tahoma"/>
            <family val="2"/>
          </rPr>
          <t>decode bitstream buffer = MAX * 2 + MIN * count</t>
        </r>
      </text>
    </comment>
    <comment ref="A22" authorId="0" shapeId="0" xr:uid="{00000000-0006-0000-0600-000007000000}">
      <text>
        <r>
          <rPr>
            <b/>
            <sz val="9"/>
            <color indexed="81"/>
            <rFont val="Tahoma"/>
            <family val="2"/>
          </rPr>
          <t>Dec buf+MB info+BS info</t>
        </r>
      </text>
    </comment>
    <comment ref="B30" authorId="0" shapeId="0" xr:uid="{00000000-0006-0000-0600-000008000000}">
      <text>
        <r>
          <rPr>
            <b/>
            <sz val="9"/>
            <color indexed="81"/>
            <rFont val="Tahoma"/>
            <family val="2"/>
          </rPr>
          <t xml:space="preserve">31x: YUV422:2
32x/636: YUV420:1.5 </t>
        </r>
      </text>
    </comment>
    <comment ref="A41" authorId="0" shapeId="0" xr:uid="{00000000-0006-0000-0600-000009000000}">
      <text>
        <r>
          <rPr>
            <b/>
            <sz val="9"/>
            <color indexed="81"/>
            <rFont val="Tahoma"/>
            <family val="2"/>
          </rPr>
          <t>YUV420 SCE</t>
        </r>
      </text>
    </comment>
    <comment ref="A44" authorId="0" shapeId="0" xr:uid="{00000000-0006-0000-0600-00000A000000}">
      <text>
        <r>
          <rPr>
            <b/>
            <sz val="9"/>
            <color indexed="81"/>
            <rFont val="Tahoma"/>
            <family val="2"/>
          </rPr>
          <t>Dec buf+MB info+BS info</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Ivan Wang(王仁毅)</author>
  </authors>
  <commentList>
    <comment ref="B5" authorId="0" shapeId="0" xr:uid="{00000000-0006-0000-0700-000001000000}">
      <text>
        <r>
          <rPr>
            <b/>
            <sz val="9"/>
            <color indexed="81"/>
            <rFont val="Tahoma"/>
            <family val="2"/>
          </rPr>
          <t>1:mono
2:stereo</t>
        </r>
      </text>
    </comment>
    <comment ref="B7" authorId="0" shapeId="0" xr:uid="{00000000-0006-0000-0700-000002000000}">
      <text>
        <r>
          <rPr>
            <b/>
            <sz val="9"/>
            <color indexed="81"/>
            <rFont val="Tahoma"/>
            <family val="2"/>
          </rPr>
          <t>Sample count per frame</t>
        </r>
      </text>
    </comment>
    <comment ref="B14" authorId="0" shapeId="0" xr:uid="{00000000-0006-0000-0700-000003000000}">
      <text>
        <r>
          <rPr>
            <b/>
            <sz val="9"/>
            <color indexed="81"/>
            <rFont val="Tahoma"/>
            <family val="2"/>
          </rPr>
          <t>1:mono
2:stereo</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Ivan Wang(王仁毅)</author>
  </authors>
  <commentList>
    <comment ref="A16" authorId="0" shapeId="0" xr:uid="{00000000-0006-0000-0800-000001000000}">
      <text>
        <r>
          <rPr>
            <b/>
            <sz val="9"/>
            <color indexed="81"/>
            <rFont val="Tahoma"/>
            <family val="2"/>
          </rPr>
          <t>always YUV420 to calculate reference buffers</t>
        </r>
      </text>
    </comment>
    <comment ref="B16" authorId="0" shapeId="0" xr:uid="{00000000-0006-0000-0800-000002000000}">
      <text>
        <r>
          <rPr>
            <b/>
            <sz val="9"/>
            <color indexed="81"/>
            <rFont val="Tahoma"/>
            <family val="2"/>
          </rPr>
          <t>31x:align(w,64)*align(h,64)*1.5*1.06
32x:align(w,64)*align(h,64)*1.5*1.06
336:align(w,64)*align(h,64)*1.5*1.1</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Ivan Wang(王仁毅)</author>
  </authors>
  <commentList>
    <comment ref="B6" authorId="0" shapeId="0" xr:uid="{00000000-0006-0000-0900-000001000000}">
      <text>
        <r>
          <rPr>
            <b/>
            <sz val="9"/>
            <color indexed="81"/>
            <rFont val="Tahoma"/>
            <family val="2"/>
          </rPr>
          <t>w&lt;=1088: 16
w&gt;1088: 32</t>
        </r>
      </text>
    </comment>
    <comment ref="B10" authorId="0" shapeId="0" xr:uid="{00000000-0006-0000-0900-000002000000}">
      <text>
        <r>
          <rPr>
            <b/>
            <sz val="9"/>
            <color indexed="81"/>
            <rFont val="Tahoma"/>
            <family val="2"/>
          </rPr>
          <t>total channel number (include CHIP1-CHIP3)</t>
        </r>
      </text>
    </comment>
    <comment ref="F10" authorId="0" shapeId="0" xr:uid="{00000000-0006-0000-0900-000003000000}">
      <text>
        <r>
          <rPr>
            <b/>
            <sz val="9"/>
            <color indexed="81"/>
            <rFont val="Tahoma"/>
            <family val="2"/>
          </rPr>
          <t>total channel number (include CHIP1-CHIP3)</t>
        </r>
      </text>
    </comment>
  </commentList>
</comments>
</file>

<file path=xl/sharedStrings.xml><?xml version="1.0" encoding="utf-8"?>
<sst xmlns="http://schemas.openxmlformats.org/spreadsheetml/2006/main" count="1391" uniqueCount="390">
  <si>
    <t>Value</t>
    <phoneticPr fontId="2" type="noConversion"/>
  </si>
  <si>
    <t>Min Codec Compress ratio</t>
    <phoneticPr fontId="2" type="noConversion"/>
  </si>
  <si>
    <t>Pool Name</t>
    <phoneticPr fontId="2" type="noConversion"/>
  </si>
  <si>
    <t>YUV buffer count</t>
    <phoneticPr fontId="2" type="noConversion"/>
  </si>
  <si>
    <t>decode ratio frame</t>
    <phoneticPr fontId="2" type="noConversion"/>
  </si>
  <si>
    <t>Channels</t>
    <phoneticPr fontId="2" type="noConversion"/>
  </si>
  <si>
    <t>Reference number</t>
    <phoneticPr fontId="2" type="noConversion"/>
  </si>
  <si>
    <t>HD_COMMON_MEM_DISP0_IN_POOL</t>
    <phoneticPr fontId="2" type="noConversion"/>
  </si>
  <si>
    <t>HD_COMMON_MEM_DISP1_IN_POOL</t>
    <phoneticPr fontId="2" type="noConversion"/>
  </si>
  <si>
    <t>HD_COMMON_MEM_DISP2_IN_POOL</t>
    <phoneticPr fontId="2" type="noConversion"/>
  </si>
  <si>
    <t>HD_COMMON_MEM_DISP1_CAP_OUT_POOL</t>
  </si>
  <si>
    <t>HD_COMMON_MEM_DISP2_CAP_OUT_POOL</t>
  </si>
  <si>
    <t>HD_COMMON_MEM_ENC_CAP_OUT_POOL</t>
  </si>
  <si>
    <t>HD_COMMON_MEM_ENC_OUT_POOL</t>
  </si>
  <si>
    <t>HD_COMMON_MEM_DISP_DEC_IN_POOL</t>
  </si>
  <si>
    <t>HD_COMMON_MEM_DISP_DEC_OUT_POOL</t>
  </si>
  <si>
    <t>HD_COMMON_MEM_AU_ENC_AU_GRAB_OUT_POOL</t>
  </si>
  <si>
    <t>HD_COMMON_MEM_AU_DEC_AU_RENDER_IN_POOL</t>
  </si>
  <si>
    <t>HD_COMMON_MEM_OSG_POOL</t>
  </si>
  <si>
    <t>HD_COMMON_MEM_ENC_SCL_OUT_POOL</t>
    <phoneticPr fontId="2" type="noConversion"/>
  </si>
  <si>
    <t>Bitstream buffre count</t>
    <phoneticPr fontId="2" type="noConversion"/>
  </si>
  <si>
    <t>Max bitrate</t>
    <phoneticPr fontId="2" type="noConversion"/>
  </si>
  <si>
    <t>HD_COMMON_MEM_DEC_TILE_POOL</t>
    <phoneticPr fontId="2" type="noConversion"/>
  </si>
  <si>
    <t>HD_COMMON_MEM_GLOBAL_MD_POOL</t>
    <phoneticPr fontId="2" type="noConversion"/>
  </si>
  <si>
    <t>mb_size</t>
    <phoneticPr fontId="2" type="noConversion"/>
  </si>
  <si>
    <t>sta buffer (KB)</t>
    <phoneticPr fontId="2" type="noConversion"/>
  </si>
  <si>
    <t>evt buf + level buf</t>
    <phoneticPr fontId="2" type="noConversion"/>
  </si>
  <si>
    <t>Video width</t>
    <phoneticPr fontId="2" type="noConversion"/>
  </si>
  <si>
    <t>Video height</t>
    <phoneticPr fontId="2" type="noConversion"/>
  </si>
  <si>
    <t>Video width</t>
    <phoneticPr fontId="2" type="noConversion"/>
  </si>
  <si>
    <t>Decode 2</t>
    <phoneticPr fontId="2" type="noConversion"/>
  </si>
  <si>
    <t>Display Encode</t>
    <phoneticPr fontId="2" type="noConversion"/>
  </si>
  <si>
    <t>Decode 1</t>
    <phoneticPr fontId="2" type="noConversion"/>
  </si>
  <si>
    <t>IC Type</t>
    <phoneticPr fontId="2" type="noConversion"/>
  </si>
  <si>
    <t>Main Encode 2</t>
    <phoneticPr fontId="2" type="noConversion"/>
  </si>
  <si>
    <t>Main Encode 1</t>
    <phoneticPr fontId="2" type="noConversion"/>
  </si>
  <si>
    <t>CHIP0</t>
    <phoneticPr fontId="2" type="noConversion"/>
  </si>
  <si>
    <t>Liveview</t>
    <phoneticPr fontId="2" type="noConversion"/>
  </si>
  <si>
    <t>videocapture</t>
    <phoneticPr fontId="2" type="noConversion"/>
  </si>
  <si>
    <t>DISPx_CAP_OUT</t>
    <phoneticPr fontId="2" type="noConversion"/>
  </si>
  <si>
    <t>videoprocess</t>
    <phoneticPr fontId="2" type="noConversion"/>
  </si>
  <si>
    <t>DISPx_IN</t>
    <phoneticPr fontId="2" type="noConversion"/>
  </si>
  <si>
    <t>videoout</t>
    <phoneticPr fontId="2" type="noConversion"/>
  </si>
  <si>
    <t>Playback</t>
    <phoneticPr fontId="2" type="noConversion"/>
  </si>
  <si>
    <t>Encode</t>
    <phoneticPr fontId="2" type="noConversion"/>
  </si>
  <si>
    <t>Display Encode</t>
    <phoneticPr fontId="2" type="noConversion"/>
  </si>
  <si>
    <t>DISPx_DEC_IN</t>
    <phoneticPr fontId="2" type="noConversion"/>
  </si>
  <si>
    <t>videodec</t>
    <phoneticPr fontId="2" type="noConversion"/>
  </si>
  <si>
    <t>DISPx_DEC_OUT</t>
    <phoneticPr fontId="2" type="noConversion"/>
  </si>
  <si>
    <t>ENC_CAP_OUT</t>
    <phoneticPr fontId="2" type="noConversion"/>
  </si>
  <si>
    <t>videoenc</t>
    <phoneticPr fontId="2" type="noConversion"/>
  </si>
  <si>
    <t>ENC_OUT</t>
    <phoneticPr fontId="2" type="noConversion"/>
  </si>
  <si>
    <t>ENC_SCL_OUT</t>
    <phoneticPr fontId="2" type="noConversion"/>
  </si>
  <si>
    <t>↓</t>
    <phoneticPr fontId="2" type="noConversion"/>
  </si>
  <si>
    <t>Value</t>
    <phoneticPr fontId="2" type="noConversion"/>
  </si>
  <si>
    <t>ENC_CAP_OUT_POOL (KB)</t>
    <phoneticPr fontId="2" type="noConversion"/>
  </si>
  <si>
    <t>ENC_OUT_POOL (KB)</t>
    <phoneticPr fontId="2" type="noConversion"/>
  </si>
  <si>
    <t>Resolution width</t>
    <phoneticPr fontId="2" type="noConversion"/>
  </si>
  <si>
    <t>Resolution height</t>
    <phoneticPr fontId="2" type="noConversion"/>
  </si>
  <si>
    <t>Max bitrate Kbytes (25fps)</t>
    <phoneticPr fontId="2" type="noConversion"/>
  </si>
  <si>
    <t>Main Encode 1</t>
    <phoneticPr fontId="2" type="noConversion"/>
  </si>
  <si>
    <t>CHIP0</t>
    <phoneticPr fontId="2" type="noConversion"/>
  </si>
  <si>
    <t>Note</t>
    <phoneticPr fontId="2" type="noConversion"/>
  </si>
  <si>
    <t>Audio
Record</t>
    <phoneticPr fontId="2" type="noConversion"/>
  </si>
  <si>
    <t>Channels</t>
    <phoneticPr fontId="2" type="noConversion"/>
  </si>
  <si>
    <t>Tracks</t>
    <phoneticPr fontId="2" type="noConversion"/>
  </si>
  <si>
    <t>Sub Encode</t>
    <phoneticPr fontId="2" type="noConversion"/>
  </si>
  <si>
    <t>Video height</t>
    <phoneticPr fontId="2" type="noConversion"/>
  </si>
  <si>
    <t>YUV Buf Count</t>
    <phoneticPr fontId="2" type="noConversion"/>
  </si>
  <si>
    <t>YUV Buf count</t>
    <phoneticPr fontId="2" type="noConversion"/>
  </si>
  <si>
    <t>960H Support</t>
    <phoneticPr fontId="2" type="noConversion"/>
  </si>
  <si>
    <t>Input YUV count</t>
    <phoneticPr fontId="2" type="noConversion"/>
  </si>
  <si>
    <t>Input YUV pixel size</t>
    <phoneticPr fontId="2" type="noConversion"/>
  </si>
  <si>
    <t>YUV Pixel size (bytes)</t>
    <phoneticPr fontId="2" type="noConversion"/>
  </si>
  <si>
    <t>Output YUV count</t>
    <phoneticPr fontId="2" type="noConversion"/>
  </si>
  <si>
    <t>Output YUV pixel size</t>
    <phoneticPr fontId="2" type="noConversion"/>
  </si>
  <si>
    <t>Decode 1</t>
    <phoneticPr fontId="2" type="noConversion"/>
  </si>
  <si>
    <t>DEC_OUT_POOL (KB)</t>
    <phoneticPr fontId="2" type="noConversion"/>
  </si>
  <si>
    <t>DEC_IN_POOL (KB)</t>
    <phoneticPr fontId="2" type="noConversion"/>
  </si>
  <si>
    <t>DEC_OUT_RATIO_POOL (KB)</t>
    <phoneticPr fontId="2" type="noConversion"/>
  </si>
  <si>
    <t>Min codec compress Ratio</t>
    <phoneticPr fontId="2" type="noConversion"/>
  </si>
  <si>
    <t>YUV buffer count</t>
    <phoneticPr fontId="2" type="noConversion"/>
  </si>
  <si>
    <t>Bitstream buffer count</t>
    <phoneticPr fontId="2" type="noConversion"/>
  </si>
  <si>
    <t>1/4 yuv</t>
    <phoneticPr fontId="2" type="noConversion"/>
  </si>
  <si>
    <t>Max bitstream size</t>
    <phoneticPr fontId="2" type="noConversion"/>
  </si>
  <si>
    <t>Decode MB info + BS info</t>
    <phoneticPr fontId="2" type="noConversion"/>
  </si>
  <si>
    <t>De-interlace Support</t>
    <phoneticPr fontId="2" type="noConversion"/>
  </si>
  <si>
    <t>Per CH</t>
    <phoneticPr fontId="2" type="noConversion"/>
  </si>
  <si>
    <t>Decode 2</t>
    <phoneticPr fontId="2" type="noConversion"/>
  </si>
  <si>
    <t>Decode 1</t>
    <phoneticPr fontId="2" type="noConversion"/>
  </si>
  <si>
    <t>Resolution width</t>
    <phoneticPr fontId="2" type="noConversion"/>
  </si>
  <si>
    <t>Resolution height</t>
    <phoneticPr fontId="2" type="noConversion"/>
  </si>
  <si>
    <t>YUV Pixel size (bytes)</t>
    <phoneticPr fontId="2" type="noConversion"/>
  </si>
  <si>
    <t>Support</t>
    <phoneticPr fontId="2" type="noConversion"/>
  </si>
  <si>
    <t>YUV buffer count</t>
    <phoneticPr fontId="2" type="noConversion"/>
  </si>
  <si>
    <t>RLE compress ratio</t>
    <phoneticPr fontId="2" type="noConversion"/>
  </si>
  <si>
    <t>Cursor frame buffer (/dev/fb2)</t>
    <phoneticPr fontId="2" type="noConversion"/>
  </si>
  <si>
    <t>Support</t>
    <phoneticPr fontId="2" type="noConversion"/>
  </si>
  <si>
    <t>YUV Pixel size (bytes)</t>
    <phoneticPr fontId="2" type="noConversion"/>
  </si>
  <si>
    <t>Display 0</t>
    <phoneticPr fontId="2" type="noConversion"/>
  </si>
  <si>
    <t>Total width</t>
    <phoneticPr fontId="2" type="noConversion"/>
  </si>
  <si>
    <t>Height height</t>
    <phoneticPr fontId="2" type="noConversion"/>
  </si>
  <si>
    <t>Note</t>
    <phoneticPr fontId="2" type="noConversion"/>
  </si>
  <si>
    <t>DISP0_CAP_OUT_POOL(KB)</t>
    <phoneticPr fontId="2" type="noConversion"/>
  </si>
  <si>
    <t>DISP0_IN_POOL/FB0 (KB)</t>
    <phoneticPr fontId="2" type="noConversion"/>
  </si>
  <si>
    <t>YUV Pixel size (bytes)</t>
    <phoneticPr fontId="2" type="noConversion"/>
  </si>
  <si>
    <t>YUV buffer count</t>
    <phoneticPr fontId="2" type="noConversion"/>
  </si>
  <si>
    <t>2 buffers</t>
    <phoneticPr fontId="2" type="noConversion"/>
  </si>
  <si>
    <t>DISP0_CAP_OUT_POOL</t>
    <phoneticPr fontId="2" type="noConversion"/>
  </si>
  <si>
    <t>Video capture input
(liveview)</t>
    <phoneticPr fontId="2" type="noConversion"/>
  </si>
  <si>
    <t>Video frame buffer
(/dev/fb0)</t>
    <phoneticPr fontId="2" type="noConversion"/>
  </si>
  <si>
    <t>GUI frame buffer
(/dev/fb1)</t>
    <phoneticPr fontId="2" type="noConversion"/>
  </si>
  <si>
    <t>Display 1</t>
    <phoneticPr fontId="2" type="noConversion"/>
  </si>
  <si>
    <t>Display1 (960H)</t>
    <phoneticPr fontId="2" type="noConversion"/>
  </si>
  <si>
    <t>Display0(960H)</t>
    <phoneticPr fontId="2" type="noConversion"/>
  </si>
  <si>
    <t>DISP1_CAP_OUT_POOL</t>
    <phoneticPr fontId="2" type="noConversion"/>
  </si>
  <si>
    <t>DISP1_CAP_OUT_POOL(KB)</t>
    <phoneticPr fontId="2" type="noConversion"/>
  </si>
  <si>
    <t>DISP1_IN_POOL/FB0 (KB)</t>
    <phoneticPr fontId="2" type="noConversion"/>
  </si>
  <si>
    <t>Display 2</t>
    <phoneticPr fontId="2" type="noConversion"/>
  </si>
  <si>
    <t>DISP1_FB1 (KB)</t>
    <phoneticPr fontId="2" type="noConversion"/>
  </si>
  <si>
    <t>DISP1_FB2 (KB)</t>
    <phoneticPr fontId="2" type="noConversion"/>
  </si>
  <si>
    <t>DISP1_RLE (KB)</t>
    <phoneticPr fontId="2" type="noConversion"/>
  </si>
  <si>
    <t>DISP0_FB1 (KB)</t>
    <phoneticPr fontId="2" type="noConversion"/>
  </si>
  <si>
    <t>DISP0_FB2 (KB)</t>
    <phoneticPr fontId="2" type="noConversion"/>
  </si>
  <si>
    <t>DISP0_RLE (KB)</t>
    <phoneticPr fontId="2" type="noConversion"/>
  </si>
  <si>
    <t>DISP2_FB1 (KB)</t>
    <phoneticPr fontId="2" type="noConversion"/>
  </si>
  <si>
    <t>DISP2_FB2 (KB)</t>
    <phoneticPr fontId="2" type="noConversion"/>
  </si>
  <si>
    <t>DISP2_IN_POOL/FB0 (KB)</t>
    <phoneticPr fontId="2" type="noConversion"/>
  </si>
  <si>
    <t>DISP2_CAP_OUT_POOL</t>
    <phoneticPr fontId="2" type="noConversion"/>
  </si>
  <si>
    <t>Display2 (960H)</t>
    <phoneticPr fontId="2" type="noConversion"/>
  </si>
  <si>
    <t>Audio Encode</t>
    <phoneticPr fontId="2" type="noConversion"/>
  </si>
  <si>
    <t>AU_ENC_AU_GRAB_OUT_POOL (KB)</t>
    <phoneticPr fontId="2" type="noConversion"/>
  </si>
  <si>
    <t>Channels</t>
    <phoneticPr fontId="2" type="noConversion"/>
  </si>
  <si>
    <t>Frame samples</t>
    <phoneticPr fontId="2" type="noConversion"/>
  </si>
  <si>
    <t>Dual type</t>
    <phoneticPr fontId="2" type="noConversion"/>
  </si>
  <si>
    <t>Frame buffer count</t>
    <phoneticPr fontId="2" type="noConversion"/>
  </si>
  <si>
    <t>Audio Decode</t>
    <phoneticPr fontId="2" type="noConversion"/>
  </si>
  <si>
    <t>AU_DEC_AU_RENDER_IN_POOL (KB)</t>
    <phoneticPr fontId="2" type="noConversion"/>
  </si>
  <si>
    <t>Sample width(bits)</t>
    <phoneticPr fontId="2" type="noConversion"/>
  </si>
  <si>
    <t>Resolution width</t>
    <phoneticPr fontId="2" type="noConversion"/>
  </si>
  <si>
    <t>Note</t>
    <phoneticPr fontId="2" type="noConversion"/>
  </si>
  <si>
    <t>YUV pixel size (bytes)</t>
    <phoneticPr fontId="2" type="noConversion"/>
  </si>
  <si>
    <t>Min codec compress ratio</t>
    <phoneticPr fontId="2" type="noConversion"/>
  </si>
  <si>
    <t>YUV buffer size (enc_cap_out)</t>
    <phoneticPr fontId="2" type="noConversion"/>
  </si>
  <si>
    <t>Display Encode Parameters</t>
    <phoneticPr fontId="2" type="noConversion"/>
  </si>
  <si>
    <t>Reference Buffer Size (KB)</t>
    <phoneticPr fontId="2" type="noConversion"/>
  </si>
  <si>
    <t>Reference Buffer Count</t>
    <phoneticPr fontId="2" type="noConversion"/>
  </si>
  <si>
    <t>Motion Detection</t>
    <phoneticPr fontId="2" type="noConversion"/>
  </si>
  <si>
    <t>MD buffer size (KB)</t>
    <phoneticPr fontId="2" type="noConversion"/>
  </si>
  <si>
    <t>Max width</t>
    <phoneticPr fontId="2" type="noConversion"/>
  </si>
  <si>
    <t>Max height</t>
    <phoneticPr fontId="2" type="noConversion"/>
  </si>
  <si>
    <t>1k header</t>
    <phoneticPr fontId="2" type="noConversion"/>
  </si>
  <si>
    <t>CHIP0/DDR0</t>
    <phoneticPr fontId="2" type="noConversion"/>
  </si>
  <si>
    <t>Buf Size</t>
    <phoneticPr fontId="2" type="noConversion"/>
  </si>
  <si>
    <t>Count</t>
    <phoneticPr fontId="2" type="noConversion"/>
  </si>
  <si>
    <t>Total</t>
    <phoneticPr fontId="2" type="noConversion"/>
  </si>
  <si>
    <t>ENC_SCL_OUT_POOL (KB)</t>
    <phoneticPr fontId="2" type="noConversion"/>
  </si>
  <si>
    <t>ENC_OUT_POOL (KB)</t>
    <phoneticPr fontId="2" type="noConversion"/>
  </si>
  <si>
    <t>ENC_SCL_OUT_POOL (KB)</t>
    <phoneticPr fontId="2" type="noConversion"/>
  </si>
  <si>
    <t>videoprocess</t>
    <phoneticPr fontId="2" type="noConversion"/>
  </si>
  <si>
    <t>ENC_SCL_OUT</t>
    <phoneticPr fontId="2" type="noConversion"/>
  </si>
  <si>
    <t>Channels</t>
    <phoneticPr fontId="2" type="noConversion"/>
  </si>
  <si>
    <t>Video width</t>
    <phoneticPr fontId="2" type="noConversion"/>
  </si>
  <si>
    <t>Video height</t>
    <phoneticPr fontId="2" type="noConversion"/>
  </si>
  <si>
    <t>YUV Buf count</t>
    <phoneticPr fontId="2" type="noConversion"/>
  </si>
  <si>
    <t>Substream Encode</t>
    <phoneticPr fontId="2" type="noConversion"/>
  </si>
  <si>
    <t>HD_COMMON_MEM_DISP0_FB_POOL(FB1+FB2+RLE)</t>
    <phoneticPr fontId="2" type="noConversion"/>
  </si>
  <si>
    <t>MD buffer count</t>
    <phoneticPr fontId="2" type="noConversion"/>
  </si>
  <si>
    <t>HDAL Total Size (KB)</t>
    <phoneticPr fontId="2" type="noConversion"/>
  </si>
  <si>
    <t>Display Enable</t>
    <phoneticPr fontId="2" type="noConversion"/>
  </si>
  <si>
    <t>Liveview Type</t>
    <phoneticPr fontId="2" type="noConversion"/>
  </si>
  <si>
    <t>Enable</t>
    <phoneticPr fontId="2" type="noConversion"/>
  </si>
  <si>
    <t>Reference buffer number</t>
    <phoneticPr fontId="2" type="noConversion"/>
  </si>
  <si>
    <t>CHIP0</t>
    <phoneticPr fontId="2" type="noConversion"/>
  </si>
  <si>
    <t>CHIP0</t>
    <phoneticPr fontId="2" type="noConversion"/>
  </si>
  <si>
    <t>CHIP0</t>
    <phoneticPr fontId="2" type="noConversion"/>
  </si>
  <si>
    <t>CHIP0</t>
    <phoneticPr fontId="2" type="noConversion"/>
  </si>
  <si>
    <t>HD_COMMON_MEM_ENC_REF_POOL (Encode 2 REF)</t>
    <phoneticPr fontId="2" type="noConversion"/>
  </si>
  <si>
    <t>HD_COMMON_MEM_ENC_REF_POOL (Substream REF)</t>
    <phoneticPr fontId="2" type="noConversion"/>
  </si>
  <si>
    <t>TMNR Buffer Size (KB)</t>
    <phoneticPr fontId="2" type="noConversion"/>
  </si>
  <si>
    <t>TMNR Buffer Count</t>
    <phoneticPr fontId="2" type="noConversion"/>
  </si>
  <si>
    <t>YUV buffer size (enc_scl_out)</t>
    <phoneticPr fontId="2" type="noConversion"/>
  </si>
  <si>
    <t>Decode buf size (YUV)</t>
    <phoneticPr fontId="2" type="noConversion"/>
  </si>
  <si>
    <t>Function</t>
    <phoneticPr fontId="2" type="noConversion"/>
  </si>
  <si>
    <t>2bit mode</t>
    <phoneticPr fontId="2" type="noConversion"/>
  </si>
  <si>
    <t>2bit mode</t>
    <phoneticPr fontId="2" type="noConversion"/>
  </si>
  <si>
    <t>TMNR support</t>
    <phoneticPr fontId="2" type="noConversion"/>
  </si>
  <si>
    <t>TMNR support</t>
    <phoneticPr fontId="2" type="noConversion"/>
  </si>
  <si>
    <t xml:space="preserve">/*
* for DVR_4MP_4CH:  4CH 1920x1080 HDMI(1080p)+CVBS
* MB_X_NUM_MAX = 256;
* MB_Y_NUM_MAX = 256
* MB_GAU_LEN = 256;
* EVT_LEN = 8; 
* LV_LEN = 8;
* mb_size = 16;
* mb_x_num_max = max_width/mb_size = 2560/32 = 80;
* mb_y_num_max = max_height/mb_size = 1440/32 = 45;
* sta buf size = mb_x_num_max*mb_y_num_max*MB_GAU_LEN (bits)
*              = 80*45*256/8 (bytes)
* event buf size = MB_X_NUM_MAX*mb_y_num_max*EVT_LEN (bits)
*                               = 256*45*8/8 (bytes)
* level buf size = MB_X_NUM_MAX*mb_y_num_max*LV_LEN (bits)
*                               = 256*45*8/8 (bytes)
* */
</t>
    <phoneticPr fontId="2" type="noConversion"/>
  </si>
  <si>
    <t>(fb0)Video format</t>
    <phoneticPr fontId="2" type="noConversion"/>
  </si>
  <si>
    <t>(fb0)Video width</t>
    <phoneticPr fontId="2" type="noConversion"/>
  </si>
  <si>
    <t>(fb0)Video height</t>
    <phoneticPr fontId="2" type="noConversion"/>
  </si>
  <si>
    <t>(fb0)Video buffers</t>
    <phoneticPr fontId="2" type="noConversion"/>
  </si>
  <si>
    <t xml:space="preserve">(fb1)GUI width </t>
    <phoneticPr fontId="2" type="noConversion"/>
  </si>
  <si>
    <t>(fb1)GUI format</t>
    <phoneticPr fontId="2" type="noConversion"/>
  </si>
  <si>
    <t>(fb1)GUI height</t>
    <phoneticPr fontId="2" type="noConversion"/>
  </si>
  <si>
    <t>(fb1)RLE enable</t>
    <phoneticPr fontId="2" type="noConversion"/>
  </si>
  <si>
    <t>(fb2)2bits enable</t>
    <phoneticPr fontId="2" type="noConversion"/>
  </si>
  <si>
    <t>Capture buffers</t>
    <phoneticPr fontId="2" type="noConversion"/>
  </si>
  <si>
    <t>Capture format</t>
    <phoneticPr fontId="2" type="noConversion"/>
  </si>
  <si>
    <t>Deinterlace Support</t>
    <phoneticPr fontId="2" type="noConversion"/>
  </si>
  <si>
    <t>Display0
(fb0~fb2)</t>
    <phoneticPr fontId="2" type="noConversion"/>
  </si>
  <si>
    <t>Display1
(fb3~fb5)</t>
    <phoneticPr fontId="2" type="noConversion"/>
  </si>
  <si>
    <t>Display2
(fb6~fb8)</t>
    <phoneticPr fontId="2" type="noConversion"/>
  </si>
  <si>
    <t>DISP2_RLE (KB)</t>
    <phoneticPr fontId="2" type="noConversion"/>
  </si>
  <si>
    <t>DISP2_CAP_OUT_POOL(KB)</t>
    <phoneticPr fontId="2" type="noConversion"/>
  </si>
  <si>
    <t>Min Compression</t>
    <phoneticPr fontId="2" type="noConversion"/>
  </si>
  <si>
    <t>Extra Write (1/N)</t>
    <phoneticPr fontId="2" type="noConversion"/>
  </si>
  <si>
    <t>Bitstream Count</t>
    <phoneticPr fontId="2" type="noConversion"/>
  </si>
  <si>
    <t>Bitstream Count</t>
    <phoneticPr fontId="2" type="noConversion"/>
  </si>
  <si>
    <t>Max Bitrate/Mbps</t>
    <phoneticPr fontId="2" type="noConversion"/>
  </si>
  <si>
    <t>Max Bitrate/Mbps</t>
    <phoneticPr fontId="2" type="noConversion"/>
  </si>
  <si>
    <t>YUV Buf format</t>
    <phoneticPr fontId="2" type="noConversion"/>
  </si>
  <si>
    <t>Main Encode 1</t>
  </si>
  <si>
    <t>Bitstream Count</t>
    <phoneticPr fontId="2" type="noConversion"/>
  </si>
  <si>
    <t>Reference Number</t>
    <phoneticPr fontId="2" type="noConversion"/>
  </si>
  <si>
    <t>Main Encode 2</t>
    <phoneticPr fontId="2" type="noConversion"/>
  </si>
  <si>
    <t>TMNR support</t>
    <phoneticPr fontId="2" type="noConversion"/>
  </si>
  <si>
    <t>TMNR support</t>
    <phoneticPr fontId="2" type="noConversion"/>
  </si>
  <si>
    <t>Tracks(mono,stereo)</t>
    <phoneticPr fontId="2" type="noConversion"/>
  </si>
  <si>
    <t>Sample width</t>
    <phoneticPr fontId="2" type="noConversion"/>
  </si>
  <si>
    <t>Sample rate(Hz)</t>
    <phoneticPr fontId="2" type="noConversion"/>
  </si>
  <si>
    <t>Frame samples</t>
    <phoneticPr fontId="2" type="noConversion"/>
  </si>
  <si>
    <t>Audio
Playback</t>
    <phoneticPr fontId="2" type="noConversion"/>
  </si>
  <si>
    <t>Buf count</t>
    <phoneticPr fontId="2" type="noConversion"/>
  </si>
  <si>
    <t>Max Bitrate/Kbps</t>
    <phoneticPr fontId="2" type="noConversion"/>
  </si>
  <si>
    <t>YUV Buf format</t>
    <phoneticPr fontId="2" type="noConversion"/>
  </si>
  <si>
    <t>OSG</t>
    <phoneticPr fontId="2" type="noConversion"/>
  </si>
  <si>
    <t>User AP</t>
    <phoneticPr fontId="2" type="noConversion"/>
  </si>
  <si>
    <t>CNN</t>
    <phoneticPr fontId="2" type="noConversion"/>
  </si>
  <si>
    <t>Deinterlace buffers</t>
    <phoneticPr fontId="2" type="noConversion"/>
  </si>
  <si>
    <t>Deinterlace buffers</t>
    <phoneticPr fontId="2" type="noConversion"/>
  </si>
  <si>
    <t>&gt;</t>
    <phoneticPr fontId="2" type="noConversion"/>
  </si>
  <si>
    <t>Tile Max bitstream size</t>
    <phoneticPr fontId="2" type="noConversion"/>
  </si>
  <si>
    <t>(Tile)Max height</t>
    <phoneticPr fontId="2" type="noConversion"/>
  </si>
  <si>
    <t>(Tile)Max width</t>
    <phoneticPr fontId="2" type="noConversion"/>
  </si>
  <si>
    <t>(Tile) Max width</t>
    <phoneticPr fontId="2" type="noConversion"/>
  </si>
  <si>
    <t>(Tile) Max height</t>
    <phoneticPr fontId="2" type="noConversion"/>
  </si>
  <si>
    <t>Tile max width</t>
    <phoneticPr fontId="2" type="noConversion"/>
  </si>
  <si>
    <t>Tile max height</t>
    <phoneticPr fontId="2" type="noConversion"/>
  </si>
  <si>
    <t>Reference max width</t>
    <phoneticPr fontId="2" type="noConversion"/>
  </si>
  <si>
    <t>Reference max height</t>
    <phoneticPr fontId="2" type="noConversion"/>
  </si>
  <si>
    <r>
      <t xml:space="preserve">vg_boot.sh </t>
    </r>
    <r>
      <rPr>
        <sz val="12"/>
        <rFont val="新細明體"/>
        <family val="1"/>
        <charset val="136"/>
      </rPr>
      <t xml:space="preserve"> ==&gt; Update</t>
    </r>
    <r>
      <rPr>
        <b/>
        <sz val="12"/>
        <rFont val="新細明體"/>
        <family val="1"/>
        <charset val="136"/>
      </rPr>
      <t xml:space="preserve"> </t>
    </r>
    <r>
      <rPr>
        <sz val="12"/>
        <rFont val="新細明體"/>
        <family val="1"/>
        <charset val="136"/>
      </rPr>
      <t>it</t>
    </r>
    <phoneticPr fontId="2" type="noConversion"/>
  </si>
  <si>
    <t>Encode DI</t>
    <phoneticPr fontId="2" type="noConversion"/>
  </si>
  <si>
    <t>Encode channels</t>
    <phoneticPr fontId="2" type="noConversion"/>
  </si>
  <si>
    <t>Decode channels</t>
    <phoneticPr fontId="2" type="noConversion"/>
  </si>
  <si>
    <t>HD_COMMON_MEM_COMMON_POOL</t>
    <phoneticPr fontId="2" type="noConversion"/>
  </si>
  <si>
    <t>HD_COMMON_MEM_DISP_DEC_OUT_RATIO_POOL</t>
    <phoneticPr fontId="2" type="noConversion"/>
  </si>
  <si>
    <t>HD_COMMON_MEM_ENC_REF_POOL (Encode 1 REF)</t>
    <phoneticPr fontId="2" type="noConversion"/>
  </si>
  <si>
    <t>HD_COMMON_MEM_ENC_REF_POOL (Encode 1 TMNR)</t>
    <phoneticPr fontId="2" type="noConversion"/>
  </si>
  <si>
    <t>HD_COMMON_MEM_ENC_REF_POOL (Encode 2 TMNR)</t>
    <phoneticPr fontId="2" type="noConversion"/>
  </si>
  <si>
    <t>HD_COMMON_MEM_ENC_REF_POOL (Substream TMNR)</t>
    <phoneticPr fontId="2" type="noConversion"/>
  </si>
  <si>
    <t>HD_COMMON_MEM_DISP0_CAP_OUT_POOL</t>
    <phoneticPr fontId="2" type="noConversion"/>
  </si>
  <si>
    <t>HD_COMMON_MEM_DISP2_FB_POOL(FB7+FB8)</t>
    <phoneticPr fontId="2" type="noConversion"/>
  </si>
  <si>
    <t>HD_COMMON_MEM_TMNR_MOTION_POOL</t>
    <phoneticPr fontId="2" type="noConversion"/>
  </si>
  <si>
    <t>HD_COMMON_MEM_CNN_POOL</t>
    <phoneticPr fontId="2" type="noConversion"/>
  </si>
  <si>
    <t>HD_COMMON_MEM_USER_BLK</t>
    <phoneticPr fontId="2" type="noConversion"/>
  </si>
  <si>
    <t>Audio</t>
    <phoneticPr fontId="2" type="noConversion"/>
  </si>
  <si>
    <t>audiocapture</t>
    <phoneticPr fontId="2" type="noConversion"/>
  </si>
  <si>
    <t>AU_ENC_AU_GRAB_OUT</t>
    <phoneticPr fontId="2" type="noConversion"/>
  </si>
  <si>
    <t>↓</t>
    <phoneticPr fontId="2" type="noConversion"/>
  </si>
  <si>
    <t>audioenc</t>
    <phoneticPr fontId="2" type="noConversion"/>
  </si>
  <si>
    <t>audiodec</t>
    <phoneticPr fontId="2" type="noConversion"/>
  </si>
  <si>
    <t>AU_DEC_AU_RENDER_IN</t>
    <phoneticPr fontId="2" type="noConversion"/>
  </si>
  <si>
    <t>audioout</t>
    <phoneticPr fontId="2" type="noConversion"/>
  </si>
  <si>
    <t>DDR1 Usage</t>
    <phoneticPr fontId="2" type="noConversion"/>
  </si>
  <si>
    <t>DDR2 Usage</t>
    <phoneticPr fontId="2" type="noConversion"/>
  </si>
  <si>
    <t>DDR3 Usage</t>
    <phoneticPr fontId="2" type="noConversion"/>
  </si>
  <si>
    <t>CHIP0/DDR1</t>
    <phoneticPr fontId="2" type="noConversion"/>
  </si>
  <si>
    <t>CHIP1/DDR2</t>
    <phoneticPr fontId="2" type="noConversion"/>
  </si>
  <si>
    <t>CHIP1/DDR3</t>
    <phoneticPr fontId="2" type="noConversion"/>
  </si>
  <si>
    <t>Transcode</t>
    <phoneticPr fontId="2" type="noConversion"/>
  </si>
  <si>
    <t>LCD WriteBack</t>
    <phoneticPr fontId="2" type="noConversion"/>
  </si>
  <si>
    <t>HW Engine</t>
    <phoneticPr fontId="2" type="noConversion"/>
  </si>
  <si>
    <t>POOL (Buffer)</t>
    <phoneticPr fontId="2" type="noConversion"/>
  </si>
  <si>
    <t>videoout0</t>
    <phoneticPr fontId="2" type="noConversion"/>
  </si>
  <si>
    <t>DISP1_IN</t>
    <phoneticPr fontId="2" type="noConversion"/>
  </si>
  <si>
    <t xml:space="preserve"> ==&gt; Pool buffer name</t>
    <phoneticPr fontId="2" type="noConversion"/>
  </si>
  <si>
    <t xml:space="preserve"> ==&gt; HW engine</t>
    <phoneticPr fontId="2" type="noConversion"/>
  </si>
  <si>
    <t>videoout1</t>
    <phoneticPr fontId="2" type="noConversion"/>
  </si>
  <si>
    <t>CHIP0</t>
    <phoneticPr fontId="2" type="noConversion"/>
  </si>
  <si>
    <t>CHIP1</t>
    <phoneticPr fontId="2" type="noConversion"/>
  </si>
  <si>
    <t>CHIP1</t>
    <phoneticPr fontId="2" type="noConversion"/>
  </si>
  <si>
    <t>History</t>
    <phoneticPr fontId="2" type="noConversion"/>
  </si>
  <si>
    <t>Ivan</t>
    <phoneticPr fontId="2" type="noConversion"/>
  </si>
  <si>
    <t>DDR0 Usage</t>
    <phoneticPr fontId="2" type="noConversion"/>
  </si>
  <si>
    <t>DDR0</t>
    <phoneticPr fontId="2" type="noConversion"/>
  </si>
  <si>
    <t>DDR1</t>
    <phoneticPr fontId="2" type="noConversion"/>
  </si>
  <si>
    <t>DDR2</t>
    <phoneticPr fontId="2" type="noConversion"/>
  </si>
  <si>
    <t>DDR3</t>
    <phoneticPr fontId="2" type="noConversion"/>
  </si>
  <si>
    <t>DDR0</t>
    <phoneticPr fontId="2" type="noConversion"/>
  </si>
  <si>
    <t>Initial Version</t>
    <phoneticPr fontId="2" type="noConversion"/>
  </si>
  <si>
    <t>Update to add decoder working buffer
  -tile buffer = 4 * dec_in
  -column md buffer
  -column mv buffer
Update decoder buffer calculation (include side-info)</t>
    <phoneticPr fontId="2" type="noConversion"/>
  </si>
  <si>
    <t>Version</t>
    <phoneticPr fontId="2" type="noConversion"/>
  </si>
  <si>
    <t>v2.0 20201224</t>
    <phoneticPr fontId="2" type="noConversion"/>
  </si>
  <si>
    <t>v2.0 20201228</t>
    <phoneticPr fontId="2" type="noConversion"/>
  </si>
  <si>
    <t>Update-by</t>
    <phoneticPr fontId="2" type="noConversion"/>
  </si>
  <si>
    <t>v2.1 20210310</t>
    <phoneticPr fontId="2" type="noConversion"/>
  </si>
  <si>
    <t>Ivan</t>
    <phoneticPr fontId="2" type="noConversion"/>
  </si>
  <si>
    <t>Fix encode main bitstream error assign issue
Update 636 decode YUV &amp; sideinfo calculation (w/h 64 align, total 4k align)</t>
    <phoneticPr fontId="2" type="noConversion"/>
  </si>
  <si>
    <t>evt buf + level buf</t>
    <phoneticPr fontId="2" type="noConversion"/>
  </si>
  <si>
    <t>sta buffer (KB)</t>
    <phoneticPr fontId="2" type="noConversion"/>
  </si>
  <si>
    <t>v2.2 20210311</t>
    <phoneticPr fontId="2" type="noConversion"/>
  </si>
  <si>
    <t>Ivan</t>
    <phoneticPr fontId="2" type="noConversion"/>
  </si>
  <si>
    <t>Update VPE TMNR motion buffer from: 140KB(2MP) -&gt; 1MB(8MP)
NA51090-252 (from KL's comment)</t>
    <phoneticPr fontId="2" type="noConversion"/>
  </si>
  <si>
    <t>v2.3 20210318</t>
    <phoneticPr fontId="2" type="noConversion"/>
  </si>
  <si>
    <t>Update to add decode VPE 1toN support buffer calculation</t>
    <phoneticPr fontId="2" type="noConversion"/>
  </si>
  <si>
    <t>Ivan</t>
    <phoneticPr fontId="2" type="noConversion"/>
  </si>
  <si>
    <t>VPE 1toN Support</t>
    <phoneticPr fontId="2" type="noConversion"/>
  </si>
  <si>
    <t>VPE 1toN Buf Count</t>
    <phoneticPr fontId="2" type="noConversion"/>
  </si>
  <si>
    <t>VPE 1toN Buf Count</t>
    <phoneticPr fontId="2" type="noConversion"/>
  </si>
  <si>
    <t>VPE 1toN buf size (display0)</t>
    <phoneticPr fontId="2" type="noConversion"/>
  </si>
  <si>
    <t>VPE 1toN buf size (display1)</t>
    <phoneticPr fontId="2" type="noConversion"/>
  </si>
  <si>
    <t>VPE 1toN buf size (display1)</t>
    <phoneticPr fontId="2" type="noConversion"/>
  </si>
  <si>
    <t>VPE 1toN buf size (display0)</t>
    <phoneticPr fontId="2" type="noConversion"/>
  </si>
  <si>
    <t>VPE 1toN buf size (display0)</t>
    <phoneticPr fontId="2" type="noConversion"/>
  </si>
  <si>
    <t>VPE 1toN buf size (display0)</t>
    <phoneticPr fontId="2" type="noConversion"/>
  </si>
  <si>
    <t>v2.4 20210319</t>
    <phoneticPr fontId="2" type="noConversion"/>
  </si>
  <si>
    <t>Ivan</t>
    <phoneticPr fontId="2" type="noConversion"/>
  </si>
  <si>
    <t>Update 636 about LCD 0/1/2 disp_cap out share &amp; codec bitstream calculation</t>
    <phoneticPr fontId="2" type="noConversion"/>
  </si>
  <si>
    <t>YUV Scaler
(for Enc or Raw)</t>
    <phoneticPr fontId="2" type="noConversion"/>
  </si>
  <si>
    <t>YUV Scaler
(for Enc or Raw)</t>
    <phoneticPr fontId="2" type="noConversion"/>
  </si>
  <si>
    <t>YUV Scaler
(for Enc or Raw)</t>
    <phoneticPr fontId="2" type="noConversion"/>
  </si>
  <si>
    <t>YUV Scaler</t>
    <phoneticPr fontId="2" type="noConversion"/>
  </si>
  <si>
    <t>v2.5 20210324</t>
    <phoneticPr fontId="2" type="noConversion"/>
  </si>
  <si>
    <t>Update for Display located in DDR1 configuration</t>
    <phoneticPr fontId="2" type="noConversion"/>
  </si>
  <si>
    <t>Ivan</t>
    <phoneticPr fontId="2" type="noConversion"/>
  </si>
  <si>
    <t>Enable (DDR)</t>
    <phoneticPr fontId="2" type="noConversion"/>
  </si>
  <si>
    <r>
      <rPr>
        <b/>
        <sz val="11"/>
        <rFont val="新細明體"/>
        <family val="1"/>
        <charset val="136"/>
      </rPr>
      <t xml:space="preserve">
nvt-mem-tbl.dtsi (636/336)</t>
    </r>
    <r>
      <rPr>
        <sz val="11"/>
        <rFont val="新細明體"/>
        <family val="1"/>
        <charset val="136"/>
      </rPr>
      <t xml:space="preserve">==&gt;Update it
</t>
    </r>
    <phoneticPr fontId="2" type="noConversion"/>
  </si>
  <si>
    <t xml:space="preserve">           hdal-memory {
                      media {   reg = &lt;0 2 0x.. 0x.. 0x.. 
                                              0 3 0x.. 0x.. 0x.. </t>
    <phoneticPr fontId="2" type="noConversion"/>
  </si>
  <si>
    <r>
      <rPr>
        <b/>
        <sz val="11"/>
        <rFont val="新細明體"/>
        <family val="1"/>
        <charset val="136"/>
      </rPr>
      <t>nvt-mem-tbl.dtsi</t>
    </r>
    <r>
      <rPr>
        <sz val="11"/>
        <rFont val="新細明體"/>
        <family val="1"/>
        <charset val="136"/>
      </rPr>
      <t xml:space="preserve">  ==&gt;  Update it</t>
    </r>
    <phoneticPr fontId="2" type="noConversion"/>
  </si>
  <si>
    <t>v2.6 20210520</t>
    <phoneticPr fontId="2" type="noConversion"/>
  </si>
  <si>
    <t>Ivan</t>
    <phoneticPr fontId="2" type="noConversion"/>
  </si>
  <si>
    <t>Fix disp_in/dec_out for DDR2 calculation issue</t>
    <phoneticPr fontId="2" type="noConversion"/>
  </si>
  <si>
    <t>Enable (DDR)</t>
    <phoneticPr fontId="2" type="noConversion"/>
  </si>
  <si>
    <t>v2.7 20210609</t>
    <phoneticPr fontId="2" type="noConversion"/>
  </si>
  <si>
    <t>Ivan</t>
    <phoneticPr fontId="2" type="noConversion"/>
  </si>
  <si>
    <t>Update decode out yuv comment: buffer +1 if it's unvisible requirement</t>
    <phoneticPr fontId="2" type="noConversion"/>
  </si>
  <si>
    <t>v2.8 20210623</t>
    <phoneticPr fontId="2" type="noConversion"/>
  </si>
  <si>
    <t>Fix DDR0 enc_out should calculated to common when encode is located in DDR1</t>
    <phoneticPr fontId="2" type="noConversion"/>
  </si>
  <si>
    <t>Ivan</t>
    <phoneticPr fontId="2" type="noConversion"/>
  </si>
  <si>
    <t>Encode max width</t>
    <phoneticPr fontId="2" type="noConversion"/>
  </si>
  <si>
    <t>Decode max width</t>
    <phoneticPr fontId="2" type="noConversion"/>
  </si>
  <si>
    <t>Encode max height</t>
    <phoneticPr fontId="2" type="noConversion"/>
  </si>
  <si>
    <t>Decode max height</t>
    <phoneticPr fontId="2" type="noConversion"/>
  </si>
  <si>
    <t>Single Ttriggers</t>
    <phoneticPr fontId="2" type="noConversion"/>
  </si>
  <si>
    <t>Update boot.sh about modprobe parameters</t>
    <phoneticPr fontId="2" type="noConversion"/>
  </si>
  <si>
    <t>Ivan</t>
    <phoneticPr fontId="2" type="noConversion"/>
  </si>
  <si>
    <t>v2.9 20210628</t>
    <phoneticPr fontId="2" type="noConversion"/>
  </si>
  <si>
    <t>Update boot.sh about modprobe parameters, calculation of display encode &amp; yuv scaler</t>
    <phoneticPr fontId="2" type="noConversion"/>
  </si>
  <si>
    <t>v2.10 20210629</t>
    <phoneticPr fontId="2" type="noConversion"/>
  </si>
  <si>
    <t>Update insmod parameters about enc/dec channels</t>
    <phoneticPr fontId="2" type="noConversion"/>
  </si>
  <si>
    <t>Ivan</t>
    <phoneticPr fontId="2" type="noConversion"/>
  </si>
  <si>
    <t>v2.11 20210630-3</t>
    <phoneticPr fontId="2" type="noConversion"/>
  </si>
  <si>
    <t>v2.12 20210702</t>
    <phoneticPr fontId="2" type="noConversion"/>
  </si>
  <si>
    <t>Update MD buffer size calculation</t>
    <phoneticPr fontId="2" type="noConversion"/>
  </si>
  <si>
    <t>Ivan</t>
    <phoneticPr fontId="2" type="noConversion"/>
  </si>
  <si>
    <t>v2.13 20210707</t>
    <phoneticPr fontId="2" type="noConversion"/>
  </si>
  <si>
    <t>Update 336 Encode reference calculation</t>
    <phoneticPr fontId="2" type="noConversion"/>
  </si>
  <si>
    <t>Ivan</t>
    <phoneticPr fontId="2" type="noConversion"/>
  </si>
  <si>
    <t>v2.13 20210707-2</t>
    <phoneticPr fontId="2" type="noConversion"/>
  </si>
  <si>
    <t>Ivan</t>
    <phoneticPr fontId="2" type="noConversion"/>
  </si>
  <si>
    <t>Update kdrv_venc parameters for vg_boot.sh</t>
    <phoneticPr fontId="2" type="noConversion"/>
  </si>
  <si>
    <t>v2.14 20210708</t>
    <phoneticPr fontId="2" type="noConversion"/>
  </si>
  <si>
    <t>Update trigger channel numbers &amp; 2nd display with RLE</t>
    <phoneticPr fontId="2" type="noConversion"/>
  </si>
  <si>
    <t>HD_COMMON_MEM_DISP1_FB_POOL(FB4+FB5+RLE)</t>
    <phoneticPr fontId="2" type="noConversion"/>
  </si>
  <si>
    <t>Ivan</t>
    <phoneticPr fontId="2" type="noConversion"/>
  </si>
  <si>
    <t>v2.15 20210709</t>
    <phoneticPr fontId="2" type="noConversion"/>
  </si>
  <si>
    <t>Update to fix decode max width/height</t>
    <phoneticPr fontId="2" type="noConversion"/>
  </si>
  <si>
    <t>Ivan</t>
    <phoneticPr fontId="2" type="noConversion"/>
  </si>
  <si>
    <t>Ivan</t>
    <phoneticPr fontId="2" type="noConversion"/>
  </si>
  <si>
    <t>Fix decode tile buffer calculation (enlarge buffer) &amp; column size</t>
    <phoneticPr fontId="2" type="noConversion"/>
  </si>
  <si>
    <t>CNN buffers (KB)</t>
    <phoneticPr fontId="2" type="noConversion"/>
  </si>
  <si>
    <t>OSG buffers (KB)</t>
    <phoneticPr fontId="2" type="noConversion"/>
  </si>
  <si>
    <t>USER_BLK buffers (KB)</t>
    <phoneticPr fontId="2" type="noConversion"/>
  </si>
  <si>
    <t>OSG buffers (KB)</t>
    <phoneticPr fontId="2" type="noConversion"/>
  </si>
  <si>
    <t>USER_BLK buffers (KB)</t>
    <phoneticPr fontId="2" type="noConversion"/>
  </si>
  <si>
    <t>CNN buffers (KB)</t>
    <phoneticPr fontId="2" type="noConversion"/>
  </si>
  <si>
    <t>v2.16 20210713-3</t>
    <phoneticPr fontId="2" type="noConversion"/>
  </si>
  <si>
    <t>v2.17 20210823</t>
    <phoneticPr fontId="2" type="noConversion"/>
  </si>
  <si>
    <t>Fix encode reference &amp; tmnr buffer calculation</t>
    <phoneticPr fontId="2" type="noConversion"/>
  </si>
  <si>
    <t>NVR</t>
  </si>
  <si>
    <t>v2.18 20210827</t>
    <phoneticPr fontId="2" type="noConversion"/>
  </si>
  <si>
    <t>Fix display FB RGB8888 calculation</t>
    <phoneticPr fontId="2" type="noConversion"/>
  </si>
  <si>
    <t>Ivan</t>
    <phoneticPr fontId="2" type="noConversion"/>
  </si>
  <si>
    <t>v2.19 20211126</t>
    <phoneticPr fontId="2" type="noConversion"/>
  </si>
  <si>
    <t>Fix liveview VPE motion buffer allocation error</t>
    <phoneticPr fontId="2" type="noConversion"/>
  </si>
  <si>
    <t>Ivan</t>
    <phoneticPr fontId="2" type="noConversion"/>
  </si>
  <si>
    <t>636</t>
  </si>
  <si>
    <t xml:space="preserve">  HDAL Memory Calculation v2.20 (20220922)</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</si>
</sst>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Red]0"/>
  </numFmts>
  <fonts count="29" x14ac:knownFonts="1">
    <font>
      <sz val="12"/>
      <name val="新細明體"/>
      <family val="1"/>
      <charset val="136"/>
    </font>
    <font>
      <b/>
      <sz val="12"/>
      <color indexed="9"/>
      <name val="Courier New"/>
      <family val="3"/>
    </font>
    <font>
      <sz val="9"/>
      <name val="新細明體"/>
      <family val="1"/>
      <charset val="136"/>
    </font>
    <font>
      <sz val="12"/>
      <name val="Courier New"/>
      <family val="3"/>
    </font>
    <font>
      <b/>
      <sz val="12"/>
      <name val="Courier New"/>
      <family val="3"/>
    </font>
    <font>
      <sz val="16"/>
      <name val="新細明體"/>
      <family val="1"/>
      <charset val="136"/>
    </font>
    <font>
      <b/>
      <sz val="14"/>
      <name val="新細明體"/>
      <family val="1"/>
      <charset val="136"/>
    </font>
    <font>
      <b/>
      <sz val="9"/>
      <color indexed="81"/>
      <name val="Tahoma"/>
      <family val="2"/>
    </font>
    <font>
      <sz val="9"/>
      <color indexed="81"/>
      <name val="Tahoma"/>
      <family val="2"/>
    </font>
    <font>
      <b/>
      <sz val="12"/>
      <name val="新細明體"/>
      <family val="1"/>
      <charset val="136"/>
    </font>
    <font>
      <sz val="12"/>
      <color theme="0"/>
      <name val="新細明體"/>
      <family val="1"/>
      <charset val="136"/>
    </font>
    <font>
      <b/>
      <sz val="12"/>
      <color rgb="FFFFFF00"/>
      <name val="新細明體"/>
      <family val="1"/>
      <charset val="136"/>
    </font>
    <font>
      <b/>
      <sz val="12"/>
      <color theme="0"/>
      <name val="Courier New"/>
      <family val="3"/>
    </font>
    <font>
      <b/>
      <sz val="12"/>
      <color rgb="FFFFFF00"/>
      <name val="Courier New"/>
      <family val="3"/>
    </font>
    <font>
      <b/>
      <sz val="12"/>
      <color rgb="FFFF0000"/>
      <name val="Courier New"/>
      <family val="3"/>
    </font>
    <font>
      <sz val="12"/>
      <color rgb="FFFFFF00"/>
      <name val="新細明體"/>
      <family val="1"/>
      <charset val="136"/>
    </font>
    <font>
      <b/>
      <sz val="12"/>
      <color rgb="FF0033CC"/>
      <name val="新細明體"/>
      <family val="1"/>
      <charset val="136"/>
    </font>
    <font>
      <b/>
      <sz val="16"/>
      <color theme="0"/>
      <name val="Courier New"/>
      <family val="3"/>
    </font>
    <font>
      <sz val="12"/>
      <color theme="0" tint="-4.9989318521683403E-2"/>
      <name val="新細明體"/>
      <family val="1"/>
      <charset val="136"/>
    </font>
    <font>
      <sz val="12"/>
      <color rgb="FF0000FF"/>
      <name val="新細明體"/>
      <family val="1"/>
      <charset val="136"/>
    </font>
    <font>
      <b/>
      <sz val="9"/>
      <color rgb="FF0000FF"/>
      <name val="新細明體"/>
      <family val="1"/>
      <charset val="136"/>
    </font>
    <font>
      <sz val="11"/>
      <name val="新細明體"/>
      <family val="1"/>
      <charset val="136"/>
    </font>
    <font>
      <b/>
      <sz val="11"/>
      <name val="新細明體"/>
      <family val="1"/>
      <charset val="136"/>
    </font>
    <font>
      <sz val="11"/>
      <color rgb="FF0000FF"/>
      <name val="新細明體"/>
      <family val="1"/>
      <charset val="136"/>
    </font>
    <font>
      <sz val="10"/>
      <color rgb="FF0000FF"/>
      <name val="新細明體"/>
      <family val="1"/>
      <charset val="136"/>
    </font>
    <font>
      <sz val="12"/>
      <color theme="0" tint="-0.34998626667073579"/>
      <name val="新細明體"/>
      <family val="1"/>
      <charset val="136"/>
    </font>
    <font>
      <sz val="8"/>
      <color theme="0"/>
      <name val="新細明體"/>
      <family val="1"/>
      <charset val="136"/>
    </font>
    <font>
      <b/>
      <sz val="12"/>
      <color theme="0"/>
      <name val="新細明體"/>
      <family val="1"/>
      <charset val="136"/>
    </font>
    <font>
      <sz val="12"/>
      <color theme="0" tint="-0.499984740745262"/>
      <name val="新細明體"/>
      <family val="1"/>
      <charset val="136"/>
    </font>
  </fonts>
  <fills count="18">
    <fill>
      <patternFill patternType="none"/>
    </fill>
    <fill>
      <patternFill patternType="gray125"/>
    </fill>
    <fill>
      <patternFill patternType="solid">
        <fgColor theme="9" tint="0.59999389629810485"/>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rgb="FF3366FF"/>
        <bgColor indexed="64"/>
      </patternFill>
    </fill>
    <fill>
      <patternFill patternType="solid">
        <fgColor theme="9" tint="0.39997558519241921"/>
        <bgColor indexed="64"/>
      </patternFill>
    </fill>
    <fill>
      <patternFill patternType="solid">
        <fgColor theme="0"/>
        <bgColor indexed="64"/>
      </patternFill>
    </fill>
    <fill>
      <patternFill patternType="solid">
        <fgColor rgb="FF92D050"/>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4"/>
        <bgColor indexed="64"/>
      </patternFill>
    </fill>
    <fill>
      <patternFill patternType="solid">
        <fgColor rgb="FF93F1D2"/>
        <bgColor indexed="64"/>
      </patternFill>
    </fill>
    <fill>
      <patternFill patternType="solid">
        <fgColor theme="2" tint="-0.249977111117893"/>
        <bgColor indexed="64"/>
      </patternFill>
    </fill>
    <fill>
      <patternFill patternType="solid">
        <fgColor theme="9" tint="-0.249977111117893"/>
        <bgColor indexed="64"/>
      </patternFill>
    </fill>
  </fills>
  <borders count="56">
    <border>
      <left/>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0"/>
      </left>
      <right/>
      <top style="thin">
        <color indexed="0"/>
      </top>
      <bottom style="thin">
        <color indexed="0"/>
      </bottom>
      <diagonal/>
    </border>
    <border>
      <left style="thin">
        <color indexed="0"/>
      </left>
      <right/>
      <top style="thin">
        <color indexed="0"/>
      </top>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top style="thin">
        <color indexed="64"/>
      </top>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thin">
        <color indexed="0"/>
      </left>
      <right style="thin">
        <color indexed="0"/>
      </right>
      <top style="thin">
        <color indexed="0"/>
      </top>
      <bottom style="thin">
        <color indexed="0"/>
      </bottom>
      <diagonal/>
    </border>
    <border>
      <left style="thin">
        <color indexed="0"/>
      </left>
      <right style="thin">
        <color indexed="0"/>
      </right>
      <top style="thin">
        <color indexed="0"/>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right/>
      <top style="thin">
        <color indexed="64"/>
      </top>
      <bottom style="thin">
        <color indexed="64"/>
      </bottom>
      <diagonal/>
    </border>
    <border>
      <left style="medium">
        <color indexed="64"/>
      </left>
      <right/>
      <top style="medium">
        <color indexed="64"/>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1">
    <xf numFmtId="0" fontId="0" fillId="0" borderId="0">
      <alignment vertical="center"/>
    </xf>
  </cellStyleXfs>
  <cellXfs count="277">
    <xf numFmtId="0" fontId="0" fillId="0" borderId="0" xfId="0">
      <alignment vertical="center"/>
    </xf>
    <xf numFmtId="0" fontId="0" fillId="0" borderId="0" xfId="0" applyAlignment="1">
      <alignment vertical="center" wrapText="1"/>
    </xf>
    <xf numFmtId="0" fontId="3" fillId="0" borderId="0" xfId="0" applyFont="1" applyAlignment="1">
      <alignment vertical="center" wrapText="1"/>
    </xf>
    <xf numFmtId="0" fontId="0" fillId="0" borderId="1" xfId="0" applyBorder="1" applyAlignment="1">
      <alignment vertical="center" wrapText="1"/>
    </xf>
    <xf numFmtId="0" fontId="0" fillId="0" borderId="0" xfId="0" applyAlignment="1">
      <alignment horizontal="center" vertical="center"/>
    </xf>
    <xf numFmtId="0" fontId="0" fillId="0" borderId="1" xfId="0" applyBorder="1">
      <alignment vertical="center"/>
    </xf>
    <xf numFmtId="0" fontId="0" fillId="0" borderId="1" xfId="0" applyBorder="1" applyAlignment="1">
      <alignment horizontal="center" vertical="center"/>
    </xf>
    <xf numFmtId="0" fontId="0" fillId="0" borderId="0" xfId="0" applyBorder="1" applyAlignment="1">
      <alignment horizontal="center" vertical="center"/>
    </xf>
    <xf numFmtId="0" fontId="0" fillId="0" borderId="1" xfId="0" applyFill="1" applyBorder="1">
      <alignment vertical="center"/>
    </xf>
    <xf numFmtId="0" fontId="0" fillId="0" borderId="0" xfId="0" applyAlignment="1">
      <alignment horizontal="right" vertical="center"/>
    </xf>
    <xf numFmtId="0" fontId="0" fillId="0" borderId="1" xfId="0" applyFont="1" applyBorder="1" applyAlignment="1">
      <alignment horizontal="center" vertical="center"/>
    </xf>
    <xf numFmtId="0" fontId="0" fillId="0" borderId="0" xfId="0" applyAlignment="1">
      <alignment horizontal="center" vertical="center" wrapText="1"/>
    </xf>
    <xf numFmtId="0" fontId="0" fillId="0" borderId="0" xfId="0" applyFill="1" applyBorder="1" applyAlignment="1">
      <alignment vertical="center" wrapText="1"/>
    </xf>
    <xf numFmtId="0" fontId="3" fillId="0" borderId="0" xfId="0" applyFont="1" applyFill="1" applyBorder="1" applyAlignment="1">
      <alignment vertical="center" wrapText="1"/>
    </xf>
    <xf numFmtId="0" fontId="10" fillId="0" borderId="0" xfId="0" applyFont="1" applyFill="1">
      <alignment vertical="center"/>
    </xf>
    <xf numFmtId="0" fontId="0" fillId="0" borderId="0" xfId="0" applyBorder="1" applyAlignment="1">
      <alignment vertical="center" wrapText="1"/>
    </xf>
    <xf numFmtId="0" fontId="0" fillId="0" borderId="0" xfId="0" applyAlignment="1">
      <alignment horizontal="right" vertical="center" wrapText="1"/>
    </xf>
    <xf numFmtId="0" fontId="3" fillId="0" borderId="2" xfId="0" applyFont="1" applyFill="1" applyBorder="1" applyAlignment="1">
      <alignment horizontal="center" vertical="center" wrapText="1"/>
    </xf>
    <xf numFmtId="0" fontId="3" fillId="0" borderId="3" xfId="0" applyFont="1" applyFill="1" applyBorder="1" applyAlignment="1">
      <alignment horizontal="center" vertical="center" wrapText="1"/>
    </xf>
    <xf numFmtId="0" fontId="3" fillId="0" borderId="3" xfId="0" applyFont="1" applyBorder="1" applyAlignment="1">
      <alignment horizontal="center" vertical="center" wrapText="1"/>
    </xf>
    <xf numFmtId="0" fontId="3" fillId="0" borderId="4" xfId="0" applyFont="1" applyBorder="1" applyAlignment="1">
      <alignment horizontal="center" vertical="center" wrapText="1"/>
    </xf>
    <xf numFmtId="0" fontId="3" fillId="0" borderId="2" xfId="0" applyFont="1" applyBorder="1" applyAlignment="1">
      <alignment horizontal="center" vertical="center" wrapText="1"/>
    </xf>
    <xf numFmtId="176" fontId="3" fillId="2" borderId="5" xfId="0" applyNumberFormat="1" applyFont="1" applyFill="1" applyBorder="1" applyAlignment="1">
      <alignment horizontal="right" vertical="center" wrapText="1"/>
    </xf>
    <xf numFmtId="176" fontId="3" fillId="2" borderId="1" xfId="0" applyNumberFormat="1" applyFont="1" applyFill="1" applyBorder="1" applyAlignment="1">
      <alignment horizontal="right" vertical="center" wrapText="1"/>
    </xf>
    <xf numFmtId="0" fontId="3" fillId="3" borderId="5" xfId="0" applyFont="1" applyFill="1" applyBorder="1" applyAlignment="1">
      <alignment horizontal="right" vertical="center" wrapText="1"/>
    </xf>
    <xf numFmtId="0" fontId="3" fillId="3" borderId="1" xfId="0" applyFont="1" applyFill="1" applyBorder="1" applyAlignment="1">
      <alignment horizontal="right" vertical="center" wrapText="1"/>
    </xf>
    <xf numFmtId="0" fontId="3" fillId="4" borderId="5" xfId="0" applyFont="1" applyFill="1" applyBorder="1" applyAlignment="1">
      <alignment horizontal="right" vertical="center" wrapText="1"/>
    </xf>
    <xf numFmtId="0" fontId="3" fillId="4" borderId="1" xfId="0" applyFont="1" applyFill="1" applyBorder="1" applyAlignment="1">
      <alignment horizontal="right" vertical="center" wrapText="1"/>
    </xf>
    <xf numFmtId="0" fontId="3" fillId="4" borderId="6" xfId="0" applyFont="1" applyFill="1" applyBorder="1" applyAlignment="1">
      <alignment horizontal="right" vertical="center" wrapText="1"/>
    </xf>
    <xf numFmtId="0" fontId="3" fillId="0" borderId="8" xfId="0" applyFont="1" applyFill="1" applyBorder="1" applyAlignment="1">
      <alignment horizontal="center" vertical="center" wrapText="1"/>
    </xf>
    <xf numFmtId="0" fontId="0" fillId="0" borderId="0" xfId="0" applyAlignment="1">
      <alignment vertical="center"/>
    </xf>
    <xf numFmtId="0" fontId="3" fillId="5" borderId="1" xfId="0" applyFont="1" applyFill="1" applyBorder="1" applyAlignment="1">
      <alignment horizontal="right" vertical="center" wrapText="1"/>
    </xf>
    <xf numFmtId="0" fontId="3" fillId="6" borderId="5" xfId="0" applyFont="1" applyFill="1" applyBorder="1" applyAlignment="1">
      <alignment horizontal="right" vertical="center" wrapText="1"/>
    </xf>
    <xf numFmtId="0" fontId="3" fillId="6" borderId="1" xfId="0" applyFont="1" applyFill="1" applyBorder="1" applyAlignment="1">
      <alignment horizontal="right" vertical="center" wrapText="1"/>
    </xf>
    <xf numFmtId="0" fontId="3" fillId="6" borderId="6" xfId="0" applyFont="1" applyFill="1" applyBorder="1" applyAlignment="1">
      <alignment horizontal="right" vertical="center" wrapText="1"/>
    </xf>
    <xf numFmtId="0" fontId="0" fillId="0" borderId="14" xfId="0" applyBorder="1" applyAlignment="1">
      <alignment horizontal="right" vertical="center"/>
    </xf>
    <xf numFmtId="0" fontId="0" fillId="7" borderId="14" xfId="0" applyFont="1" applyFill="1" applyBorder="1" applyAlignment="1">
      <alignment horizontal="right" vertical="center"/>
    </xf>
    <xf numFmtId="0" fontId="3" fillId="0" borderId="16" xfId="0" applyFont="1" applyBorder="1" applyAlignment="1">
      <alignment horizontal="center" vertical="center" wrapText="1"/>
    </xf>
    <xf numFmtId="0" fontId="1" fillId="8" borderId="19" xfId="0" applyNumberFormat="1" applyFont="1" applyFill="1" applyBorder="1" applyAlignment="1" applyProtection="1">
      <alignment horizontal="center" vertical="center" wrapText="1"/>
    </xf>
    <xf numFmtId="0" fontId="12" fillId="8" borderId="1" xfId="0" applyFont="1" applyFill="1" applyBorder="1" applyAlignment="1">
      <alignment horizontal="center" vertical="center"/>
    </xf>
    <xf numFmtId="0" fontId="3" fillId="4" borderId="15" xfId="0" applyFont="1" applyFill="1" applyBorder="1" applyAlignment="1">
      <alignment horizontal="right" vertical="center" wrapText="1"/>
    </xf>
    <xf numFmtId="0" fontId="0" fillId="0" borderId="14" xfId="0" applyFont="1" applyBorder="1" applyAlignment="1">
      <alignment horizontal="right" vertical="center"/>
    </xf>
    <xf numFmtId="0" fontId="1" fillId="8" borderId="20" xfId="0" applyNumberFormat="1" applyFont="1" applyFill="1" applyBorder="1" applyAlignment="1" applyProtection="1">
      <alignment horizontal="center" vertical="center" wrapText="1"/>
    </xf>
    <xf numFmtId="0" fontId="12" fillId="8" borderId="15" xfId="0" applyFont="1" applyFill="1" applyBorder="1" applyAlignment="1">
      <alignment horizontal="center" vertical="center"/>
    </xf>
    <xf numFmtId="0" fontId="0" fillId="0" borderId="1" xfId="0" applyBorder="1" applyAlignment="1">
      <alignment horizontal="right" vertical="center"/>
    </xf>
    <xf numFmtId="0" fontId="13" fillId="0" borderId="1" xfId="0" applyFont="1" applyFill="1" applyBorder="1" applyAlignment="1">
      <alignment horizontal="center" vertical="center" wrapText="1"/>
    </xf>
    <xf numFmtId="0" fontId="11" fillId="0" borderId="1" xfId="0" applyFont="1" applyFill="1" applyBorder="1" applyAlignment="1">
      <alignment horizontal="center" vertical="center" wrapText="1"/>
    </xf>
    <xf numFmtId="0" fontId="3" fillId="0" borderId="0" xfId="0" applyFont="1" applyFill="1" applyAlignment="1">
      <alignment vertical="center" wrapText="1"/>
    </xf>
    <xf numFmtId="0" fontId="0" fillId="7" borderId="1" xfId="0" applyFont="1" applyFill="1" applyBorder="1" applyAlignment="1">
      <alignment horizontal="right" vertical="center"/>
    </xf>
    <xf numFmtId="0" fontId="0" fillId="0" borderId="1" xfId="0" applyFont="1" applyFill="1" applyBorder="1" applyAlignment="1">
      <alignment horizontal="right" vertical="center"/>
    </xf>
    <xf numFmtId="0" fontId="0" fillId="0" borderId="1" xfId="0" applyFont="1" applyBorder="1" applyAlignment="1">
      <alignment horizontal="right" vertical="center"/>
    </xf>
    <xf numFmtId="49" fontId="0" fillId="0" borderId="1" xfId="0" applyNumberFormat="1" applyBorder="1" applyAlignment="1">
      <alignment horizontal="center" vertical="center" wrapText="1"/>
    </xf>
    <xf numFmtId="0" fontId="3" fillId="3" borderId="15" xfId="0" applyFont="1" applyFill="1" applyBorder="1" applyAlignment="1">
      <alignment horizontal="right" vertical="center" wrapText="1"/>
    </xf>
    <xf numFmtId="0" fontId="0" fillId="0" borderId="0" xfId="0" applyFont="1" applyFill="1" applyBorder="1" applyAlignment="1">
      <alignment horizontal="right" vertical="center"/>
    </xf>
    <xf numFmtId="0" fontId="0" fillId="0" borderId="5" xfId="0" applyBorder="1" applyAlignment="1">
      <alignment horizontal="right" vertical="center"/>
    </xf>
    <xf numFmtId="0" fontId="0" fillId="0" borderId="6" xfId="0" applyBorder="1" applyAlignment="1">
      <alignment horizontal="right" vertical="center"/>
    </xf>
    <xf numFmtId="0" fontId="0" fillId="0" borderId="15" xfId="0" applyBorder="1" applyAlignment="1">
      <alignment horizontal="right" vertical="center"/>
    </xf>
    <xf numFmtId="0" fontId="0" fillId="0" borderId="21" xfId="0" applyBorder="1" applyAlignment="1">
      <alignment horizontal="center" vertical="center"/>
    </xf>
    <xf numFmtId="0" fontId="0" fillId="0" borderId="14" xfId="0" applyBorder="1" applyAlignment="1">
      <alignment horizontal="center" vertical="center"/>
    </xf>
    <xf numFmtId="0" fontId="0" fillId="0" borderId="22" xfId="0" applyBorder="1" applyAlignment="1">
      <alignment horizontal="center" vertical="center"/>
    </xf>
    <xf numFmtId="0" fontId="0" fillId="0" borderId="23" xfId="0" applyBorder="1" applyAlignment="1">
      <alignment horizontal="center" vertical="center"/>
    </xf>
    <xf numFmtId="0" fontId="12" fillId="8" borderId="24" xfId="0" applyFont="1" applyFill="1" applyBorder="1" applyAlignment="1">
      <alignment horizontal="center" vertical="center"/>
    </xf>
    <xf numFmtId="0" fontId="0" fillId="0" borderId="25" xfId="0" applyBorder="1" applyAlignment="1">
      <alignment horizontal="center" vertical="center"/>
    </xf>
    <xf numFmtId="0" fontId="0" fillId="0" borderId="2" xfId="0" applyBorder="1">
      <alignment vertical="center"/>
    </xf>
    <xf numFmtId="0" fontId="0" fillId="0" borderId="3" xfId="0" applyBorder="1">
      <alignment vertical="center"/>
    </xf>
    <xf numFmtId="0" fontId="0" fillId="0" borderId="4" xfId="0" applyBorder="1">
      <alignment vertical="center"/>
    </xf>
    <xf numFmtId="0" fontId="0" fillId="0" borderId="23" xfId="0" applyFill="1" applyBorder="1" applyAlignment="1">
      <alignment horizontal="center" vertical="center"/>
    </xf>
    <xf numFmtId="0" fontId="0" fillId="0" borderId="16" xfId="0" applyBorder="1">
      <alignment vertical="center"/>
    </xf>
    <xf numFmtId="0" fontId="0" fillId="7" borderId="1" xfId="0" applyFont="1" applyFill="1" applyBorder="1" applyAlignment="1">
      <alignment horizontal="right" vertical="center"/>
    </xf>
    <xf numFmtId="0" fontId="12" fillId="9" borderId="15" xfId="0" applyFont="1" applyFill="1" applyBorder="1" applyAlignment="1">
      <alignment horizontal="center" vertical="center"/>
    </xf>
    <xf numFmtId="0" fontId="0" fillId="7" borderId="1" xfId="0" applyFont="1" applyFill="1" applyBorder="1" applyAlignment="1">
      <alignment horizontal="right" vertical="center"/>
    </xf>
    <xf numFmtId="0" fontId="1" fillId="9" borderId="20" xfId="0" applyNumberFormat="1" applyFont="1" applyFill="1" applyBorder="1" applyAlignment="1" applyProtection="1">
      <alignment horizontal="center" vertical="center" wrapText="1"/>
    </xf>
    <xf numFmtId="0" fontId="0" fillId="0" borderId="1" xfId="0" applyFont="1" applyFill="1" applyBorder="1" applyAlignment="1">
      <alignment horizontal="center" vertical="center"/>
    </xf>
    <xf numFmtId="0" fontId="0" fillId="0" borderId="1" xfId="0" applyBorder="1" applyAlignment="1" applyProtection="1">
      <alignment horizontal="center" vertical="center"/>
      <protection locked="0"/>
    </xf>
    <xf numFmtId="0" fontId="0" fillId="0" borderId="1" xfId="0" applyFont="1" applyBorder="1" applyAlignment="1" applyProtection="1">
      <alignment horizontal="center" vertical="center"/>
      <protection locked="0"/>
    </xf>
    <xf numFmtId="0" fontId="1" fillId="8" borderId="26" xfId="0" applyNumberFormat="1" applyFont="1" applyFill="1" applyBorder="1" applyAlignment="1" applyProtection="1">
      <alignment horizontal="center" vertical="center" wrapText="1"/>
    </xf>
    <xf numFmtId="0" fontId="1" fillId="8" borderId="27" xfId="0" applyNumberFormat="1" applyFont="1" applyFill="1" applyBorder="1" applyAlignment="1" applyProtection="1">
      <alignment horizontal="center" vertical="center" wrapText="1"/>
    </xf>
    <xf numFmtId="0" fontId="0" fillId="10" borderId="1" xfId="0" applyFont="1" applyFill="1" applyBorder="1" applyAlignment="1">
      <alignment horizontal="right" vertical="center"/>
    </xf>
    <xf numFmtId="0" fontId="3" fillId="0" borderId="14" xfId="0" applyFont="1" applyBorder="1" applyAlignment="1">
      <alignment horizontal="left" vertical="center"/>
    </xf>
    <xf numFmtId="0" fontId="14" fillId="7" borderId="14" xfId="0" applyFont="1" applyFill="1" applyBorder="1" applyAlignment="1">
      <alignment horizontal="center" vertical="center"/>
    </xf>
    <xf numFmtId="0" fontId="0" fillId="0" borderId="0" xfId="0" applyBorder="1">
      <alignment vertical="center"/>
    </xf>
    <xf numFmtId="0" fontId="3" fillId="0" borderId="8" xfId="0" applyFont="1" applyBorder="1" applyAlignment="1">
      <alignment horizontal="center" vertical="center" wrapText="1"/>
    </xf>
    <xf numFmtId="0" fontId="9" fillId="0" borderId="1" xfId="0" applyFont="1" applyBorder="1" applyAlignment="1">
      <alignment horizontal="center" vertical="center"/>
    </xf>
    <xf numFmtId="0" fontId="9" fillId="0" borderId="0" xfId="0" applyFont="1" applyBorder="1" applyAlignment="1">
      <alignment horizontal="center" vertical="center"/>
    </xf>
    <xf numFmtId="0" fontId="0" fillId="0" borderId="0" xfId="0" applyFill="1" applyBorder="1" applyAlignment="1">
      <alignment horizontal="center" vertical="center"/>
    </xf>
    <xf numFmtId="0" fontId="15" fillId="0" borderId="0" xfId="0" applyFont="1" applyFill="1" applyBorder="1" applyAlignment="1">
      <alignment vertical="center"/>
    </xf>
    <xf numFmtId="0" fontId="9" fillId="0" borderId="0" xfId="0" applyFont="1" applyFill="1" applyBorder="1" applyAlignment="1">
      <alignment horizontal="center" vertical="center"/>
    </xf>
    <xf numFmtId="0" fontId="0" fillId="0" borderId="15" xfId="0" applyBorder="1" applyAlignment="1">
      <alignment horizontal="center" vertical="center"/>
    </xf>
    <xf numFmtId="0" fontId="0" fillId="0" borderId="7" xfId="0" applyBorder="1" applyAlignment="1">
      <alignment horizontal="center" vertical="center"/>
    </xf>
    <xf numFmtId="0" fontId="0" fillId="0" borderId="28" xfId="0" applyBorder="1" applyAlignment="1">
      <alignment horizontal="center" vertical="center"/>
    </xf>
    <xf numFmtId="0" fontId="0" fillId="0" borderId="0" xfId="0" applyAlignment="1">
      <alignment vertical="center"/>
    </xf>
    <xf numFmtId="0" fontId="0" fillId="0" borderId="0" xfId="0" applyAlignment="1">
      <alignment vertical="center" wrapText="1"/>
    </xf>
    <xf numFmtId="0" fontId="0" fillId="0" borderId="1" xfId="0" applyBorder="1" applyAlignment="1">
      <alignment horizontal="right" vertical="center"/>
    </xf>
    <xf numFmtId="0" fontId="0" fillId="0" borderId="41" xfId="0" applyBorder="1" applyAlignment="1">
      <alignment horizontal="center" vertical="center"/>
    </xf>
    <xf numFmtId="0" fontId="0" fillId="0" borderId="42" xfId="0" applyBorder="1" applyAlignment="1">
      <alignment horizontal="center" vertical="center"/>
    </xf>
    <xf numFmtId="0" fontId="0" fillId="13" borderId="0" xfId="0" applyFill="1" applyBorder="1" applyAlignment="1">
      <alignment vertical="center" wrapText="1"/>
    </xf>
    <xf numFmtId="0" fontId="18" fillId="13" borderId="23" xfId="0" applyFont="1" applyFill="1" applyBorder="1" applyAlignment="1">
      <alignment horizontal="center" vertical="center"/>
    </xf>
    <xf numFmtId="0" fontId="18" fillId="13" borderId="28" xfId="0" applyFont="1" applyFill="1" applyBorder="1" applyAlignment="1">
      <alignment horizontal="center" vertical="center"/>
    </xf>
    <xf numFmtId="0" fontId="18" fillId="13" borderId="29" xfId="0" applyFont="1" applyFill="1" applyBorder="1" applyAlignment="1">
      <alignment horizontal="center" vertical="center"/>
    </xf>
    <xf numFmtId="0" fontId="18" fillId="13" borderId="9" xfId="0" applyFont="1" applyFill="1" applyBorder="1" applyAlignment="1">
      <alignment horizontal="center" vertical="center"/>
    </xf>
    <xf numFmtId="0" fontId="18" fillId="13" borderId="0" xfId="0" applyFont="1" applyFill="1" applyBorder="1" applyAlignment="1">
      <alignment horizontal="center" vertical="center"/>
    </xf>
    <xf numFmtId="0" fontId="18" fillId="13" borderId="10" xfId="0" applyFont="1" applyFill="1" applyBorder="1" applyAlignment="1">
      <alignment horizontal="center" vertical="center"/>
    </xf>
    <xf numFmtId="0" fontId="18" fillId="13" borderId="11" xfId="0" applyFont="1" applyFill="1" applyBorder="1" applyAlignment="1">
      <alignment horizontal="center" vertical="center"/>
    </xf>
    <xf numFmtId="0" fontId="18" fillId="13" borderId="12" xfId="0" applyFont="1" applyFill="1" applyBorder="1" applyAlignment="1">
      <alignment horizontal="center" vertical="center"/>
    </xf>
    <xf numFmtId="0" fontId="18" fillId="13" borderId="13" xfId="0" applyFont="1" applyFill="1" applyBorder="1" applyAlignment="1">
      <alignment horizontal="center" vertical="center"/>
    </xf>
    <xf numFmtId="0" fontId="0" fillId="7" borderId="1" xfId="0" applyFont="1" applyFill="1" applyBorder="1" applyAlignment="1">
      <alignment horizontal="right" vertical="center"/>
    </xf>
    <xf numFmtId="0" fontId="18" fillId="13" borderId="14" xfId="0" applyFont="1" applyFill="1" applyBorder="1" applyAlignment="1">
      <alignment horizontal="center" vertical="center"/>
    </xf>
    <xf numFmtId="0" fontId="18" fillId="13" borderId="37" xfId="0" applyFont="1" applyFill="1" applyBorder="1" applyAlignment="1">
      <alignment horizontal="center" vertical="center"/>
    </xf>
    <xf numFmtId="0" fontId="18" fillId="13" borderId="30" xfId="0" applyFont="1" applyFill="1" applyBorder="1" applyAlignment="1">
      <alignment horizontal="center" vertical="center"/>
    </xf>
    <xf numFmtId="0" fontId="10" fillId="0" borderId="0" xfId="0" applyFont="1" applyFill="1" applyAlignment="1">
      <alignment horizontal="center" vertical="center"/>
    </xf>
    <xf numFmtId="0" fontId="0" fillId="0" borderId="1" xfId="0" applyBorder="1" applyAlignment="1">
      <alignment horizontal="center" vertical="center" wrapText="1"/>
    </xf>
    <xf numFmtId="0" fontId="0" fillId="7" borderId="1" xfId="0" applyFont="1" applyFill="1" applyBorder="1" applyAlignment="1">
      <alignment horizontal="right" vertical="center"/>
    </xf>
    <xf numFmtId="0" fontId="0" fillId="0" borderId="1" xfId="0" applyBorder="1" applyAlignment="1">
      <alignment horizontal="right" vertical="center"/>
    </xf>
    <xf numFmtId="0" fontId="0" fillId="0" borderId="0" xfId="0" applyAlignment="1">
      <alignment vertical="center"/>
    </xf>
    <xf numFmtId="0" fontId="0" fillId="7" borderId="1" xfId="0" applyFont="1" applyFill="1" applyBorder="1" applyAlignment="1">
      <alignment horizontal="right" vertical="center"/>
    </xf>
    <xf numFmtId="0" fontId="0" fillId="0" borderId="6" xfId="0" applyBorder="1" applyAlignment="1">
      <alignment horizontal="right" vertical="center"/>
    </xf>
    <xf numFmtId="0" fontId="0" fillId="7" borderId="1" xfId="0" applyFont="1" applyFill="1" applyBorder="1" applyAlignment="1">
      <alignment horizontal="right" vertical="center"/>
    </xf>
    <xf numFmtId="0" fontId="0" fillId="0" borderId="1" xfId="0" applyBorder="1" applyAlignment="1">
      <alignment horizontal="right" vertical="center"/>
    </xf>
    <xf numFmtId="0" fontId="0" fillId="0" borderId="25" xfId="0" applyBorder="1" applyAlignment="1">
      <alignment horizontal="center" vertical="center"/>
    </xf>
    <xf numFmtId="0" fontId="0" fillId="0" borderId="0" xfId="0" applyBorder="1" applyAlignment="1">
      <alignment vertical="center"/>
    </xf>
    <xf numFmtId="0" fontId="0" fillId="0" borderId="0" xfId="0" applyAlignment="1">
      <alignment vertical="center"/>
    </xf>
    <xf numFmtId="0" fontId="0" fillId="0" borderId="0" xfId="0" applyAlignment="1">
      <alignment vertical="center" wrapText="1"/>
    </xf>
    <xf numFmtId="0" fontId="3" fillId="0" borderId="16" xfId="0" applyFont="1" applyFill="1" applyBorder="1" applyAlignment="1">
      <alignment horizontal="center" vertical="center" wrapText="1"/>
    </xf>
    <xf numFmtId="0" fontId="3" fillId="6" borderId="7" xfId="0" applyFont="1" applyFill="1" applyBorder="1" applyAlignment="1">
      <alignment horizontal="right" vertical="center" wrapText="1"/>
    </xf>
    <xf numFmtId="0" fontId="3" fillId="5" borderId="5" xfId="0" applyFont="1" applyFill="1" applyBorder="1" applyAlignment="1">
      <alignment horizontal="right" vertical="center" wrapText="1"/>
    </xf>
    <xf numFmtId="0" fontId="3" fillId="5" borderId="6" xfId="0" applyFont="1" applyFill="1" applyBorder="1" applyAlignment="1">
      <alignment horizontal="right" vertical="center" wrapText="1"/>
    </xf>
    <xf numFmtId="49" fontId="6" fillId="0" borderId="23" xfId="0" applyNumberFormat="1" applyFont="1" applyFill="1" applyBorder="1" applyAlignment="1">
      <alignment horizontal="right" vertical="center"/>
    </xf>
    <xf numFmtId="0" fontId="16" fillId="0" borderId="41" xfId="0" applyFont="1" applyBorder="1" applyAlignment="1">
      <alignment horizontal="center" vertical="center" wrapText="1"/>
    </xf>
    <xf numFmtId="0" fontId="0" fillId="0" borderId="28" xfId="0" applyBorder="1" applyAlignment="1">
      <alignment vertical="center"/>
    </xf>
    <xf numFmtId="0" fontId="9" fillId="11" borderId="14" xfId="0" applyFont="1" applyFill="1" applyBorder="1" applyAlignment="1">
      <alignment horizontal="right" vertical="center"/>
    </xf>
    <xf numFmtId="0" fontId="9" fillId="11" borderId="30" xfId="0" applyFont="1" applyFill="1" applyBorder="1" applyAlignment="1">
      <alignment horizontal="right" vertical="center"/>
    </xf>
    <xf numFmtId="0" fontId="3" fillId="6" borderId="15" xfId="0" applyFont="1" applyFill="1" applyBorder="1" applyAlignment="1">
      <alignment horizontal="right" vertical="center" wrapText="1"/>
    </xf>
    <xf numFmtId="0" fontId="0" fillId="0" borderId="47" xfId="0" applyBorder="1" applyAlignment="1">
      <alignment horizontal="center" vertical="center" wrapText="1"/>
    </xf>
    <xf numFmtId="0" fontId="4" fillId="13" borderId="45" xfId="0" applyFont="1" applyFill="1" applyBorder="1" applyAlignment="1">
      <alignment horizontal="center" vertical="center" wrapText="1"/>
    </xf>
    <xf numFmtId="0" fontId="0" fillId="13" borderId="46" xfId="0" applyFill="1" applyBorder="1" applyAlignment="1">
      <alignment horizontal="right" vertical="center" wrapText="1"/>
    </xf>
    <xf numFmtId="0" fontId="0" fillId="0" borderId="15" xfId="0" applyFont="1" applyBorder="1" applyAlignment="1">
      <alignment horizontal="center" vertical="center"/>
    </xf>
    <xf numFmtId="0" fontId="0" fillId="0" borderId="1" xfId="0" applyBorder="1" applyAlignment="1">
      <alignment horizontal="right" vertical="center"/>
    </xf>
    <xf numFmtId="0" fontId="0" fillId="0" borderId="0" xfId="0" applyAlignment="1">
      <alignment vertical="center" wrapText="1"/>
    </xf>
    <xf numFmtId="176" fontId="3" fillId="2" borderId="15" xfId="0" applyNumberFormat="1" applyFont="1" applyFill="1" applyBorder="1" applyAlignment="1">
      <alignment horizontal="right" vertical="center" wrapText="1"/>
    </xf>
    <xf numFmtId="176" fontId="3" fillId="15" borderId="6" xfId="0" applyNumberFormat="1" applyFont="1" applyFill="1" applyBorder="1" applyAlignment="1">
      <alignment horizontal="right" vertical="center" wrapText="1"/>
    </xf>
    <xf numFmtId="0" fontId="3" fillId="0" borderId="49" xfId="0" applyFont="1" applyBorder="1" applyAlignment="1">
      <alignment horizontal="center" vertical="center" wrapText="1"/>
    </xf>
    <xf numFmtId="0" fontId="0" fillId="4" borderId="15" xfId="0" applyFill="1" applyBorder="1" applyAlignment="1">
      <alignment horizontal="right" vertical="center"/>
    </xf>
    <xf numFmtId="0" fontId="0" fillId="0" borderId="15" xfId="0" applyFill="1" applyBorder="1" applyAlignment="1">
      <alignment horizontal="center" vertical="center"/>
    </xf>
    <xf numFmtId="0" fontId="0" fillId="0" borderId="28" xfId="0" applyFill="1" applyBorder="1" applyAlignment="1">
      <alignment horizontal="center" vertical="center"/>
    </xf>
    <xf numFmtId="0" fontId="0" fillId="0" borderId="28" xfId="0" applyFill="1" applyBorder="1" applyAlignment="1">
      <alignment horizontal="right" vertical="center"/>
    </xf>
    <xf numFmtId="0" fontId="3" fillId="4" borderId="7" xfId="0" applyFont="1" applyFill="1" applyBorder="1" applyAlignment="1">
      <alignment horizontal="right" vertical="center" wrapText="1"/>
    </xf>
    <xf numFmtId="0" fontId="3" fillId="3" borderId="6" xfId="0" applyFont="1" applyFill="1" applyBorder="1" applyAlignment="1">
      <alignment horizontal="right" vertical="center" wrapText="1"/>
    </xf>
    <xf numFmtId="176" fontId="3" fillId="15" borderId="7" xfId="0" applyNumberFormat="1" applyFont="1" applyFill="1" applyBorder="1" applyAlignment="1">
      <alignment horizontal="right" vertical="center" wrapText="1"/>
    </xf>
    <xf numFmtId="0" fontId="21" fillId="10" borderId="0" xfId="0" applyFont="1" applyFill="1" applyBorder="1" applyAlignment="1">
      <alignment horizontal="center" vertical="center" wrapText="1"/>
    </xf>
    <xf numFmtId="0" fontId="21" fillId="10" borderId="0" xfId="0" applyFont="1" applyFill="1" applyBorder="1" applyAlignment="1">
      <alignment vertical="center" wrapText="1"/>
    </xf>
    <xf numFmtId="0" fontId="0" fillId="10" borderId="0" xfId="0" applyFill="1" applyBorder="1" applyAlignment="1">
      <alignment horizontal="center" vertical="center" wrapText="1"/>
    </xf>
    <xf numFmtId="0" fontId="0" fillId="10" borderId="0" xfId="0" applyFill="1" applyBorder="1" applyAlignment="1">
      <alignment vertical="center" wrapText="1"/>
    </xf>
    <xf numFmtId="0" fontId="20" fillId="10" borderId="0" xfId="0" applyFont="1" applyFill="1" applyBorder="1" applyAlignment="1">
      <alignment horizontal="center" wrapText="1"/>
    </xf>
    <xf numFmtId="0" fontId="24" fillId="10" borderId="0" xfId="0" applyFont="1" applyFill="1" applyBorder="1" applyAlignment="1">
      <alignment wrapText="1"/>
    </xf>
    <xf numFmtId="0" fontId="24" fillId="0" borderId="0" xfId="0" applyFont="1" applyBorder="1" applyAlignment="1">
      <alignment wrapText="1"/>
    </xf>
    <xf numFmtId="0" fontId="25" fillId="0" borderId="0" xfId="0" applyFont="1" applyBorder="1" applyAlignment="1">
      <alignment horizontal="center" vertical="center" wrapText="1"/>
    </xf>
    <xf numFmtId="0" fontId="25" fillId="0" borderId="0" xfId="0" applyFont="1" applyBorder="1" applyAlignment="1">
      <alignment vertical="center" wrapText="1"/>
    </xf>
    <xf numFmtId="0" fontId="21" fillId="0" borderId="0" xfId="0" applyFont="1" applyFill="1" applyBorder="1" applyAlignment="1">
      <alignment vertical="center" wrapText="1"/>
    </xf>
    <xf numFmtId="0" fontId="0" fillId="0" borderId="0" xfId="0" applyFill="1" applyBorder="1" applyAlignment="1">
      <alignment horizontal="center" vertical="center" wrapText="1"/>
    </xf>
    <xf numFmtId="0" fontId="21" fillId="0" borderId="0" xfId="0" applyFont="1" applyBorder="1" applyAlignment="1">
      <alignment vertical="center" wrapText="1"/>
    </xf>
    <xf numFmtId="0" fontId="0" fillId="7" borderId="1" xfId="0" applyFont="1" applyFill="1" applyBorder="1" applyAlignment="1">
      <alignment horizontal="right" vertical="center"/>
    </xf>
    <xf numFmtId="0" fontId="0" fillId="7" borderId="1" xfId="0" applyFont="1" applyFill="1" applyBorder="1" applyAlignment="1">
      <alignment horizontal="right" vertical="center"/>
    </xf>
    <xf numFmtId="0" fontId="0" fillId="0" borderId="0" xfId="0" applyFill="1" applyAlignment="1">
      <alignment vertical="center" wrapText="1"/>
    </xf>
    <xf numFmtId="0" fontId="0" fillId="0" borderId="0" xfId="0" applyFont="1" applyBorder="1" applyAlignment="1">
      <alignment vertical="center" wrapText="1"/>
    </xf>
    <xf numFmtId="0" fontId="0" fillId="0" borderId="0" xfId="0" applyBorder="1" applyAlignment="1">
      <alignment vertical="center" wrapText="1"/>
    </xf>
    <xf numFmtId="0" fontId="10" fillId="12" borderId="1" xfId="0" applyFont="1" applyFill="1" applyBorder="1" applyAlignment="1">
      <alignment horizontal="center" vertical="center"/>
    </xf>
    <xf numFmtId="0" fontId="0" fillId="0" borderId="0" xfId="0" applyFont="1" applyFill="1" applyBorder="1" applyAlignment="1">
      <alignment horizontal="center" vertical="center"/>
    </xf>
    <xf numFmtId="0" fontId="0" fillId="0" borderId="28" xfId="0" applyBorder="1">
      <alignment vertical="center"/>
    </xf>
    <xf numFmtId="0" fontId="4" fillId="13" borderId="48" xfId="0" applyFont="1" applyFill="1" applyBorder="1" applyAlignment="1">
      <alignment horizontal="center" vertical="center" wrapText="1"/>
    </xf>
    <xf numFmtId="0" fontId="0" fillId="13" borderId="50" xfId="0" applyFill="1" applyBorder="1" applyAlignment="1">
      <alignment horizontal="right" vertical="center" wrapText="1"/>
    </xf>
    <xf numFmtId="0" fontId="0" fillId="0" borderId="49" xfId="0" applyBorder="1" applyAlignment="1">
      <alignment horizontal="center" vertical="center" wrapText="1"/>
    </xf>
    <xf numFmtId="0" fontId="0" fillId="13" borderId="51" xfId="0" applyFill="1" applyBorder="1" applyAlignment="1">
      <alignment vertical="center" wrapText="1"/>
    </xf>
    <xf numFmtId="0" fontId="0" fillId="13" borderId="52" xfId="0" applyFill="1" applyBorder="1" applyAlignment="1">
      <alignment vertical="center" wrapText="1"/>
    </xf>
    <xf numFmtId="0" fontId="0" fillId="13" borderId="53" xfId="0" applyFill="1" applyBorder="1" applyAlignment="1">
      <alignment vertical="center" wrapText="1"/>
    </xf>
    <xf numFmtId="0" fontId="0" fillId="13" borderId="28" xfId="0" applyFill="1" applyBorder="1" applyAlignment="1">
      <alignment vertical="center" wrapText="1"/>
    </xf>
    <xf numFmtId="0" fontId="0" fillId="13" borderId="42" xfId="0" applyFill="1" applyBorder="1" applyAlignment="1">
      <alignment vertical="center" wrapText="1"/>
    </xf>
    <xf numFmtId="0" fontId="0" fillId="13" borderId="54" xfId="0" applyFill="1" applyBorder="1" applyAlignment="1">
      <alignment vertical="center" wrapText="1"/>
    </xf>
    <xf numFmtId="0" fontId="0" fillId="13" borderId="12" xfId="0" applyFill="1" applyBorder="1" applyAlignment="1">
      <alignment vertical="center" wrapText="1"/>
    </xf>
    <xf numFmtId="0" fontId="0" fillId="13" borderId="55" xfId="0" applyFill="1" applyBorder="1" applyAlignment="1">
      <alignment vertical="center" wrapText="1"/>
    </xf>
    <xf numFmtId="0" fontId="0" fillId="0" borderId="0" xfId="0" applyAlignment="1">
      <alignment horizontal="left" vertical="center"/>
    </xf>
    <xf numFmtId="0" fontId="0" fillId="0" borderId="1" xfId="0" applyBorder="1" applyAlignment="1">
      <alignment horizontal="left" vertical="center"/>
    </xf>
    <xf numFmtId="0" fontId="0" fillId="0" borderId="1" xfId="0" applyBorder="1" applyAlignment="1">
      <alignment horizontal="left" vertical="center" wrapText="1"/>
    </xf>
    <xf numFmtId="0" fontId="27" fillId="17" borderId="1" xfId="0" applyFont="1" applyFill="1" applyBorder="1" applyAlignment="1">
      <alignment horizontal="center" vertical="center"/>
    </xf>
    <xf numFmtId="0" fontId="11" fillId="17" borderId="0" xfId="0" applyFont="1" applyFill="1" applyAlignment="1">
      <alignment horizontal="center" vertical="center"/>
    </xf>
    <xf numFmtId="0" fontId="0" fillId="0" borderId="0" xfId="0" applyAlignment="1">
      <alignment vertical="center" wrapText="1"/>
    </xf>
    <xf numFmtId="0" fontId="0" fillId="0" borderId="1" xfId="0" applyBorder="1" applyAlignment="1">
      <alignment horizontal="right" vertical="center"/>
    </xf>
    <xf numFmtId="0" fontId="20" fillId="10" borderId="0" xfId="0" applyFont="1" applyFill="1" applyBorder="1" applyAlignment="1">
      <alignment horizontal="left" wrapText="1"/>
    </xf>
    <xf numFmtId="0" fontId="0" fillId="0" borderId="0" xfId="0" applyAlignment="1">
      <alignment vertical="center" wrapText="1"/>
    </xf>
    <xf numFmtId="0" fontId="0" fillId="0" borderId="0" xfId="0" applyBorder="1" applyAlignment="1">
      <alignment vertical="center" wrapText="1"/>
    </xf>
    <xf numFmtId="0" fontId="19" fillId="0" borderId="0" xfId="0" applyFont="1" applyBorder="1" applyAlignment="1">
      <alignment horizontal="left" vertical="center" wrapText="1"/>
    </xf>
    <xf numFmtId="0" fontId="0" fillId="0" borderId="0" xfId="0" applyAlignment="1">
      <alignment horizontal="left" vertical="center" wrapText="1"/>
    </xf>
    <xf numFmtId="0" fontId="28" fillId="0" borderId="0" xfId="0" applyFont="1" applyAlignment="1">
      <alignment horizontal="right" vertical="center" wrapText="1"/>
    </xf>
    <xf numFmtId="0" fontId="28" fillId="0" borderId="0" xfId="0" applyFont="1" applyAlignment="1">
      <alignment horizontal="center" vertical="center" wrapText="1"/>
    </xf>
    <xf numFmtId="0" fontId="0" fillId="0" borderId="1" xfId="0" applyFill="1" applyBorder="1" applyAlignment="1">
      <alignment horizontal="center" vertical="center"/>
    </xf>
    <xf numFmtId="0" fontId="0" fillId="0" borderId="0" xfId="0" applyAlignment="1">
      <alignment horizontal="left" vertical="center" wrapText="1"/>
    </xf>
    <xf numFmtId="0" fontId="0" fillId="0" borderId="0" xfId="0" applyAlignment="1">
      <alignment vertical="center" wrapText="1"/>
    </xf>
    <xf numFmtId="0" fontId="4" fillId="3" borderId="31" xfId="0" applyFont="1" applyFill="1" applyBorder="1" applyAlignment="1">
      <alignment horizontal="center" vertical="center" wrapText="1"/>
    </xf>
    <xf numFmtId="0" fontId="4" fillId="3" borderId="32" xfId="0" applyFont="1" applyFill="1" applyBorder="1" applyAlignment="1">
      <alignment horizontal="center" vertical="center" wrapText="1"/>
    </xf>
    <xf numFmtId="0" fontId="0" fillId="0" borderId="32" xfId="0" applyBorder="1" applyAlignment="1">
      <alignment horizontal="center" vertical="center" wrapText="1"/>
    </xf>
    <xf numFmtId="0" fontId="0" fillId="0" borderId="36" xfId="0" applyBorder="1" applyAlignment="1">
      <alignment horizontal="center" vertical="center" wrapText="1"/>
    </xf>
    <xf numFmtId="0" fontId="23" fillId="10" borderId="0" xfId="0" applyFont="1" applyFill="1" applyBorder="1" applyAlignment="1">
      <alignment vertical="center" wrapText="1"/>
    </xf>
    <xf numFmtId="0" fontId="19" fillId="0" borderId="0" xfId="0" applyFont="1" applyBorder="1" applyAlignment="1">
      <alignment vertical="center" wrapText="1"/>
    </xf>
    <xf numFmtId="0" fontId="11" fillId="14" borderId="43" xfId="0" applyFont="1" applyFill="1" applyBorder="1" applyAlignment="1">
      <alignment horizontal="right" vertical="center" wrapText="1"/>
    </xf>
    <xf numFmtId="0" fontId="11" fillId="14" borderId="44" xfId="0" applyFont="1" applyFill="1" applyBorder="1" applyAlignment="1">
      <alignment horizontal="right" vertical="center" wrapText="1"/>
    </xf>
    <xf numFmtId="0" fontId="4" fillId="4" borderId="31" xfId="0" applyFont="1" applyFill="1" applyBorder="1" applyAlignment="1">
      <alignment horizontal="center" vertical="center" wrapText="1"/>
    </xf>
    <xf numFmtId="0" fontId="4" fillId="4" borderId="32" xfId="0" applyFont="1" applyFill="1" applyBorder="1" applyAlignment="1">
      <alignment horizontal="center" vertical="center" wrapText="1"/>
    </xf>
    <xf numFmtId="0" fontId="0" fillId="0" borderId="33" xfId="0" applyBorder="1" applyAlignment="1">
      <alignment horizontal="center" vertical="center" wrapText="1"/>
    </xf>
    <xf numFmtId="0" fontId="4" fillId="2" borderId="31" xfId="0" applyFont="1" applyFill="1" applyBorder="1" applyAlignment="1">
      <alignment horizontal="center" vertical="center" wrapText="1"/>
    </xf>
    <xf numFmtId="0" fontId="4" fillId="2" borderId="32" xfId="0" applyFont="1" applyFill="1" applyBorder="1" applyAlignment="1">
      <alignment horizontal="center" vertical="center" wrapText="1"/>
    </xf>
    <xf numFmtId="0" fontId="4" fillId="15" borderId="17" xfId="0" applyFont="1" applyFill="1" applyBorder="1" applyAlignment="1">
      <alignment horizontal="center" vertical="center" wrapText="1"/>
    </xf>
    <xf numFmtId="0" fontId="4" fillId="15" borderId="48" xfId="0" applyFont="1" applyFill="1" applyBorder="1" applyAlignment="1">
      <alignment horizontal="center" vertical="center" wrapText="1"/>
    </xf>
    <xf numFmtId="0" fontId="4" fillId="5" borderId="31" xfId="0" applyFont="1" applyFill="1" applyBorder="1" applyAlignment="1">
      <alignment horizontal="center" vertical="center" wrapText="1"/>
    </xf>
    <xf numFmtId="0" fontId="4" fillId="5" borderId="32" xfId="0" applyFont="1" applyFill="1" applyBorder="1" applyAlignment="1">
      <alignment horizontal="center" vertical="center" wrapText="1"/>
    </xf>
    <xf numFmtId="0" fontId="4" fillId="4" borderId="34" xfId="0" applyFont="1" applyFill="1" applyBorder="1" applyAlignment="1">
      <alignment horizontal="center" vertical="center" wrapText="1"/>
    </xf>
    <xf numFmtId="0" fontId="17" fillId="8" borderId="0" xfId="0" applyFont="1" applyFill="1" applyAlignment="1">
      <alignment vertical="center"/>
    </xf>
    <xf numFmtId="0" fontId="5" fillId="0" borderId="0" xfId="0" applyFont="1" applyAlignment="1">
      <alignment vertical="center"/>
    </xf>
    <xf numFmtId="0" fontId="13" fillId="17" borderId="23" xfId="0" applyFont="1" applyFill="1" applyBorder="1" applyAlignment="1">
      <alignment horizontal="center" vertical="center"/>
    </xf>
    <xf numFmtId="0" fontId="15" fillId="17" borderId="28" xfId="0" applyFont="1" applyFill="1" applyBorder="1" applyAlignment="1">
      <alignment vertical="center"/>
    </xf>
    <xf numFmtId="0" fontId="15" fillId="17" borderId="29" xfId="0" applyFont="1" applyFill="1" applyBorder="1" applyAlignment="1">
      <alignment vertical="center"/>
    </xf>
    <xf numFmtId="49" fontId="9" fillId="0" borderId="14" xfId="0" applyNumberFormat="1" applyFont="1" applyFill="1" applyBorder="1" applyAlignment="1">
      <alignment horizontal="right" vertical="center"/>
    </xf>
    <xf numFmtId="49" fontId="0" fillId="0" borderId="37" xfId="0" applyNumberFormat="1" applyFont="1" applyBorder="1" applyAlignment="1">
      <alignment vertical="center"/>
    </xf>
    <xf numFmtId="49" fontId="0" fillId="0" borderId="30" xfId="0" applyNumberFormat="1" applyFont="1" applyBorder="1" applyAlignment="1">
      <alignment vertical="center"/>
    </xf>
    <xf numFmtId="0" fontId="0" fillId="0" borderId="37" xfId="0" applyFont="1" applyBorder="1" applyAlignment="1">
      <alignment vertical="center"/>
    </xf>
    <xf numFmtId="0" fontId="0" fillId="0" borderId="30" xfId="0" applyFont="1" applyBorder="1" applyAlignment="1">
      <alignment vertical="center"/>
    </xf>
    <xf numFmtId="0" fontId="9" fillId="11" borderId="14" xfId="0" applyFont="1" applyFill="1" applyBorder="1" applyAlignment="1">
      <alignment horizontal="right" vertical="center"/>
    </xf>
    <xf numFmtId="0" fontId="9" fillId="11" borderId="30" xfId="0" applyFont="1" applyFill="1" applyBorder="1" applyAlignment="1">
      <alignment horizontal="right" vertical="center"/>
    </xf>
    <xf numFmtId="0" fontId="13" fillId="17" borderId="31" xfId="0" applyFont="1" applyFill="1" applyBorder="1" applyAlignment="1">
      <alignment horizontal="center" vertical="center" wrapText="1"/>
    </xf>
    <xf numFmtId="0" fontId="11" fillId="17" borderId="5" xfId="0" applyFont="1" applyFill="1" applyBorder="1" applyAlignment="1">
      <alignment horizontal="center" vertical="center" wrapText="1"/>
    </xf>
    <xf numFmtId="0" fontId="11" fillId="17" borderId="2" xfId="0" applyFont="1" applyFill="1" applyBorder="1" applyAlignment="1">
      <alignment horizontal="center" vertical="center" wrapText="1"/>
    </xf>
    <xf numFmtId="0" fontId="13" fillId="16" borderId="31" xfId="0" applyFont="1" applyFill="1" applyBorder="1" applyAlignment="1">
      <alignment horizontal="center" vertical="center" wrapText="1"/>
    </xf>
    <xf numFmtId="0" fontId="11" fillId="16" borderId="5" xfId="0" applyFont="1" applyFill="1" applyBorder="1" applyAlignment="1">
      <alignment horizontal="center" vertical="center" wrapText="1"/>
    </xf>
    <xf numFmtId="0" fontId="11" fillId="16" borderId="2" xfId="0" applyFont="1" applyFill="1" applyBorder="1" applyAlignment="1">
      <alignment horizontal="center" vertical="center" wrapText="1"/>
    </xf>
    <xf numFmtId="0" fontId="11" fillId="14" borderId="39" xfId="0" applyFont="1" applyFill="1" applyBorder="1" applyAlignment="1">
      <alignment horizontal="right" vertical="center" wrapText="1"/>
    </xf>
    <xf numFmtId="0" fontId="9" fillId="0" borderId="0" xfId="0" applyFont="1" applyBorder="1" applyAlignment="1">
      <alignment vertical="center" wrapText="1"/>
    </xf>
    <xf numFmtId="0" fontId="21" fillId="10" borderId="0" xfId="0" applyFont="1" applyFill="1" applyBorder="1" applyAlignment="1">
      <alignment vertical="top" wrapText="1"/>
    </xf>
    <xf numFmtId="0" fontId="0" fillId="0" borderId="0" xfId="0" applyBorder="1" applyAlignment="1">
      <alignment vertical="top" wrapText="1"/>
    </xf>
    <xf numFmtId="0" fontId="21" fillId="10" borderId="0" xfId="0" applyFont="1" applyFill="1" applyBorder="1" applyAlignment="1">
      <alignment vertical="center" wrapText="1"/>
    </xf>
    <xf numFmtId="0" fontId="0" fillId="0" borderId="0" xfId="0" applyBorder="1" applyAlignment="1">
      <alignment vertical="center" wrapText="1"/>
    </xf>
    <xf numFmtId="0" fontId="22" fillId="10" borderId="0" xfId="0" applyFont="1" applyFill="1" applyBorder="1" applyAlignment="1">
      <alignment vertical="center" wrapText="1"/>
    </xf>
    <xf numFmtId="0" fontId="4" fillId="6" borderId="31" xfId="0" applyFont="1" applyFill="1" applyBorder="1" applyAlignment="1">
      <alignment horizontal="center" vertical="center" wrapText="1"/>
    </xf>
    <xf numFmtId="0" fontId="0" fillId="6" borderId="32" xfId="0" applyFill="1" applyBorder="1" applyAlignment="1">
      <alignment horizontal="center" vertical="center" wrapText="1"/>
    </xf>
    <xf numFmtId="0" fontId="4" fillId="6" borderId="34" xfId="0" applyFont="1" applyFill="1" applyBorder="1" applyAlignment="1">
      <alignment horizontal="center" vertical="center" wrapText="1"/>
    </xf>
    <xf numFmtId="0" fontId="13" fillId="17" borderId="1" xfId="0" applyFont="1" applyFill="1" applyBorder="1" applyAlignment="1">
      <alignment horizontal="center" vertical="center"/>
    </xf>
    <xf numFmtId="0" fontId="15" fillId="17" borderId="1" xfId="0" applyFont="1" applyFill="1" applyBorder="1" applyAlignment="1">
      <alignment vertical="center"/>
    </xf>
    <xf numFmtId="0" fontId="13" fillId="16" borderId="1" xfId="0" applyFont="1" applyFill="1" applyBorder="1" applyAlignment="1">
      <alignment horizontal="center" vertical="center"/>
    </xf>
    <xf numFmtId="0" fontId="15" fillId="16" borderId="1" xfId="0" applyFont="1" applyFill="1" applyBorder="1" applyAlignment="1">
      <alignment vertical="center"/>
    </xf>
    <xf numFmtId="0" fontId="17" fillId="8" borderId="0" xfId="0" applyFont="1" applyFill="1" applyAlignment="1">
      <alignment horizontal="center" vertical="center"/>
    </xf>
    <xf numFmtId="0" fontId="0" fillId="0" borderId="12" xfId="0" applyBorder="1" applyAlignment="1">
      <alignment horizontal="center" vertical="center"/>
    </xf>
    <xf numFmtId="0" fontId="10" fillId="12" borderId="1" xfId="0" applyFont="1" applyFill="1" applyBorder="1" applyAlignment="1">
      <alignment horizontal="center" vertical="center"/>
    </xf>
    <xf numFmtId="0" fontId="10" fillId="12" borderId="0" xfId="0" applyFont="1" applyFill="1" applyAlignment="1">
      <alignment horizontal="center" vertical="center"/>
    </xf>
    <xf numFmtId="0" fontId="10" fillId="12" borderId="15" xfId="0" applyFont="1" applyFill="1" applyBorder="1" applyAlignment="1">
      <alignment horizontal="center" vertical="center"/>
    </xf>
    <xf numFmtId="0" fontId="10" fillId="12" borderId="18" xfId="0" applyFont="1" applyFill="1" applyBorder="1" applyAlignment="1">
      <alignment horizontal="center" vertical="center"/>
    </xf>
    <xf numFmtId="0" fontId="10" fillId="12" borderId="7" xfId="0" applyFont="1" applyFill="1" applyBorder="1" applyAlignment="1">
      <alignment horizontal="center" vertical="center"/>
    </xf>
    <xf numFmtId="0" fontId="0" fillId="0" borderId="9" xfId="0" applyBorder="1" applyAlignment="1">
      <alignment vertical="center"/>
    </xf>
    <xf numFmtId="0" fontId="0" fillId="0" borderId="0" xfId="0" applyAlignment="1">
      <alignment vertical="center"/>
    </xf>
    <xf numFmtId="0" fontId="26" fillId="12" borderId="1" xfId="0" applyFont="1" applyFill="1" applyBorder="1" applyAlignment="1">
      <alignment horizontal="center" vertical="center"/>
    </xf>
    <xf numFmtId="0" fontId="0" fillId="7" borderId="1" xfId="0" applyFont="1" applyFill="1" applyBorder="1" applyAlignment="1">
      <alignment horizontal="right" vertical="center"/>
    </xf>
    <xf numFmtId="0" fontId="0" fillId="0" borderId="1" xfId="0" applyBorder="1" applyAlignment="1">
      <alignment horizontal="right" vertical="center"/>
    </xf>
    <xf numFmtId="0" fontId="12" fillId="8" borderId="38" xfId="0" applyFont="1" applyFill="1" applyBorder="1" applyAlignment="1">
      <alignment horizontal="center" vertical="center"/>
    </xf>
    <xf numFmtId="0" fontId="0" fillId="0" borderId="25" xfId="0" applyBorder="1" applyAlignment="1">
      <alignment horizontal="center" vertical="center"/>
    </xf>
    <xf numFmtId="0" fontId="0" fillId="0" borderId="39" xfId="0" applyBorder="1" applyAlignment="1">
      <alignment horizontal="right" vertical="center"/>
    </xf>
    <xf numFmtId="0" fontId="0" fillId="0" borderId="40" xfId="0" applyBorder="1" applyAlignment="1">
      <alignment horizontal="right" vertical="center"/>
    </xf>
    <xf numFmtId="0" fontId="0" fillId="0" borderId="31" xfId="0" applyBorder="1" applyAlignment="1">
      <alignment horizontal="right" vertical="center" wrapText="1"/>
    </xf>
    <xf numFmtId="0" fontId="0" fillId="0" borderId="32" xfId="0" applyBorder="1" applyAlignment="1">
      <alignment horizontal="right" vertical="center"/>
    </xf>
    <xf numFmtId="0" fontId="0" fillId="0" borderId="33" xfId="0" applyBorder="1" applyAlignment="1">
      <alignment horizontal="right" vertical="center"/>
    </xf>
    <xf numFmtId="0" fontId="0" fillId="0" borderId="36" xfId="0" applyBorder="1" applyAlignment="1">
      <alignment horizontal="right" vertical="center"/>
    </xf>
    <xf numFmtId="0" fontId="0" fillId="0" borderId="35" xfId="0" applyFont="1" applyBorder="1" applyAlignment="1">
      <alignment horizontal="right" vertical="center"/>
    </xf>
    <xf numFmtId="0" fontId="0" fillId="0" borderId="17" xfId="0" applyBorder="1" applyAlignment="1">
      <alignment horizontal="right" vertical="center"/>
    </xf>
    <xf numFmtId="0" fontId="13" fillId="17" borderId="9" xfId="0" applyFont="1" applyFill="1" applyBorder="1" applyAlignment="1">
      <alignment horizontal="center" vertical="center"/>
    </xf>
    <xf numFmtId="0" fontId="0" fillId="17" borderId="0" xfId="0" applyFill="1" applyBorder="1" applyAlignment="1">
      <alignment vertical="center"/>
    </xf>
    <xf numFmtId="0" fontId="0" fillId="17" borderId="0" xfId="0" applyFill="1" applyAlignment="1">
      <alignment vertical="center"/>
    </xf>
    <xf numFmtId="0" fontId="13" fillId="16" borderId="11" xfId="0" applyFont="1" applyFill="1" applyBorder="1" applyAlignment="1">
      <alignment horizontal="center" vertical="center"/>
    </xf>
    <xf numFmtId="0" fontId="13" fillId="16" borderId="12" xfId="0" applyFont="1" applyFill="1" applyBorder="1" applyAlignment="1">
      <alignment horizontal="center" vertical="center"/>
    </xf>
    <xf numFmtId="0" fontId="13" fillId="16" borderId="9" xfId="0" applyFont="1" applyFill="1" applyBorder="1" applyAlignment="1">
      <alignment horizontal="center" vertical="center"/>
    </xf>
    <xf numFmtId="0" fontId="13" fillId="16" borderId="0" xfId="0" applyFont="1" applyFill="1" applyBorder="1" applyAlignment="1">
      <alignment horizontal="center" vertical="center"/>
    </xf>
    <xf numFmtId="0" fontId="0" fillId="16" borderId="0" xfId="0" applyFill="1" applyBorder="1" applyAlignment="1">
      <alignment vertical="center"/>
    </xf>
    <xf numFmtId="0" fontId="0" fillId="16" borderId="0" xfId="0" applyFill="1" applyAlignment="1">
      <alignment vertical="center"/>
    </xf>
  </cellXfs>
  <cellStyles count="1">
    <cellStyle name="一般" xfId="0" builtinId="0"/>
  </cellStyles>
  <dxfs count="5">
    <dxf>
      <font>
        <color theme="0"/>
      </font>
      <fill>
        <patternFill patternType="none">
          <bgColor auto="1"/>
        </patternFill>
      </fill>
      <border>
        <left/>
        <right/>
        <top/>
        <bottom/>
        <vertical/>
        <horizontal/>
      </border>
    </dxf>
    <dxf>
      <font>
        <color theme="0"/>
      </font>
      <fill>
        <patternFill patternType="none">
          <fgColor indexed="64"/>
          <bgColor auto="1"/>
        </patternFill>
      </fill>
      <border>
        <left/>
        <right/>
        <top/>
        <bottom/>
        <vertical/>
        <horizontal/>
      </border>
    </dxf>
    <dxf>
      <font>
        <u val="none"/>
        <color theme="0"/>
      </font>
      <fill>
        <patternFill patternType="none">
          <fgColor indexed="64"/>
          <bgColor auto="1"/>
        </patternFill>
      </fill>
      <border>
        <left/>
        <right/>
        <top/>
        <bottom/>
        <vertical/>
        <horizontal/>
      </border>
    </dxf>
    <dxf>
      <font>
        <color theme="0"/>
      </font>
      <fill>
        <patternFill patternType="none">
          <fgColor indexed="64"/>
          <bgColor auto="1"/>
        </patternFill>
      </fill>
      <border>
        <left/>
        <right/>
        <top/>
        <bottom/>
        <vertical/>
        <horizontal/>
      </border>
    </dxf>
    <dxf>
      <font>
        <color theme="0"/>
      </font>
      <fill>
        <patternFill patternType="none">
          <bgColor auto="1"/>
        </patternFill>
      </fill>
      <border>
        <left/>
        <right/>
        <top/>
        <bottom/>
        <vertical/>
        <horizontal/>
      </border>
    </dxf>
  </dxfs>
  <tableStyles count="0" defaultTableStyle="TableStyleMedium2" defaultPivotStyle="PivotStyleLight16"/>
  <colors>
    <mruColors>
      <color rgb="FF0000FF"/>
      <color rgb="FF93F1D2"/>
      <color rgb="FF58EAB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83820</xdr:colOff>
      <xdr:row>36</xdr:row>
      <xdr:rowOff>45720</xdr:rowOff>
    </xdr:from>
    <xdr:to>
      <xdr:col>5</xdr:col>
      <xdr:colOff>378578</xdr:colOff>
      <xdr:row>47</xdr:row>
      <xdr:rowOff>68580</xdr:rowOff>
    </xdr:to>
    <xdr:pic>
      <xdr:nvPicPr>
        <xdr:cNvPr id="2" name="圖片 1">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3820" y="7467600"/>
          <a:ext cx="6459338" cy="2286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373464</xdr:colOff>
      <xdr:row>32</xdr:row>
      <xdr:rowOff>50186</xdr:rowOff>
    </xdr:from>
    <xdr:to>
      <xdr:col>1</xdr:col>
      <xdr:colOff>678886</xdr:colOff>
      <xdr:row>36</xdr:row>
      <xdr:rowOff>127979</xdr:rowOff>
    </xdr:to>
    <xdr:sp macro="" textlink="">
      <xdr:nvSpPr>
        <xdr:cNvPr id="4" name="向下箭號 3">
          <a:extLst>
            <a:ext uri="{FF2B5EF4-FFF2-40B4-BE49-F238E27FC236}">
              <a16:creationId xmlns:a16="http://schemas.microsoft.com/office/drawing/2014/main" id="{00000000-0008-0000-0200-000004000000}"/>
            </a:ext>
          </a:extLst>
        </xdr:cNvPr>
        <xdr:cNvSpPr/>
      </xdr:nvSpPr>
      <xdr:spPr>
        <a:xfrm rot="20074937">
          <a:off x="4442544" y="6641486"/>
          <a:ext cx="305422" cy="908373"/>
        </a:xfrm>
        <a:prstGeom prst="downArrow">
          <a:avLst>
            <a:gd name="adj1" fmla="val 49085"/>
            <a:gd name="adj2" fmla="val 162781"/>
          </a:avLst>
        </a:prstGeom>
        <a:ln w="6350"/>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zh-TW" altLang="en-US" sz="1100"/>
        </a:p>
      </xdr:txBody>
    </xdr:sp>
    <xdr:clientData/>
  </xdr:twoCellAnchor>
  <xdr:twoCellAnchor>
    <xdr:from>
      <xdr:col>2</xdr:col>
      <xdr:colOff>304883</xdr:colOff>
      <xdr:row>32</xdr:row>
      <xdr:rowOff>34946</xdr:rowOff>
    </xdr:from>
    <xdr:to>
      <xdr:col>3</xdr:col>
      <xdr:colOff>705</xdr:colOff>
      <xdr:row>36</xdr:row>
      <xdr:rowOff>112739</xdr:rowOff>
    </xdr:to>
    <xdr:sp macro="" textlink="">
      <xdr:nvSpPr>
        <xdr:cNvPr id="6" name="向下箭號 5">
          <a:extLst>
            <a:ext uri="{FF2B5EF4-FFF2-40B4-BE49-F238E27FC236}">
              <a16:creationId xmlns:a16="http://schemas.microsoft.com/office/drawing/2014/main" id="{00000000-0008-0000-0200-000006000000}"/>
            </a:ext>
          </a:extLst>
        </xdr:cNvPr>
        <xdr:cNvSpPr/>
      </xdr:nvSpPr>
      <xdr:spPr>
        <a:xfrm rot="20074937">
          <a:off x="5082623" y="6626246"/>
          <a:ext cx="305422" cy="908373"/>
        </a:xfrm>
        <a:prstGeom prst="downArrow">
          <a:avLst>
            <a:gd name="adj1" fmla="val 49085"/>
            <a:gd name="adj2" fmla="val 162781"/>
          </a:avLst>
        </a:prstGeom>
        <a:ln w="6350"/>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zh-TW" altLang="en-US" sz="1100"/>
        </a:p>
      </xdr:txBody>
    </xdr:sp>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9"/>
  <dimension ref="A1:C23"/>
  <sheetViews>
    <sheetView topLeftCell="A4" workbookViewId="0">
      <selection activeCell="A23" sqref="A23:C23"/>
    </sheetView>
  </sheetViews>
  <sheetFormatPr defaultRowHeight="16.149999999999999" x14ac:dyDescent="0.45"/>
  <cols>
    <col min="1" max="1" width="16.796875" bestFit="1" customWidth="1"/>
    <col min="2" max="2" width="75.1328125" style="179" bestFit="1" customWidth="1"/>
    <col min="3" max="3" width="14" style="4" customWidth="1"/>
  </cols>
  <sheetData>
    <row r="1" spans="1:3" x14ac:dyDescent="0.45">
      <c r="A1" s="182" t="s">
        <v>293</v>
      </c>
      <c r="B1" s="182" t="s">
        <v>283</v>
      </c>
      <c r="C1" s="182" t="s">
        <v>296</v>
      </c>
    </row>
    <row r="2" spans="1:3" x14ac:dyDescent="0.45">
      <c r="A2" s="6" t="s">
        <v>294</v>
      </c>
      <c r="B2" s="181" t="s">
        <v>291</v>
      </c>
      <c r="C2" s="6" t="s">
        <v>284</v>
      </c>
    </row>
    <row r="3" spans="1:3" ht="80.650000000000006" x14ac:dyDescent="0.45">
      <c r="A3" s="6" t="s">
        <v>295</v>
      </c>
      <c r="B3" s="181" t="s">
        <v>292</v>
      </c>
      <c r="C3" s="6" t="s">
        <v>284</v>
      </c>
    </row>
    <row r="4" spans="1:3" ht="32.25" x14ac:dyDescent="0.45">
      <c r="A4" s="6" t="s">
        <v>297</v>
      </c>
      <c r="B4" s="181" t="s">
        <v>299</v>
      </c>
      <c r="C4" s="6" t="s">
        <v>298</v>
      </c>
    </row>
    <row r="5" spans="1:3" ht="32.25" x14ac:dyDescent="0.45">
      <c r="A5" s="6" t="s">
        <v>302</v>
      </c>
      <c r="B5" s="181" t="s">
        <v>304</v>
      </c>
      <c r="C5" s="6" t="s">
        <v>303</v>
      </c>
    </row>
    <row r="6" spans="1:3" x14ac:dyDescent="0.45">
      <c r="A6" s="6" t="s">
        <v>305</v>
      </c>
      <c r="B6" s="180" t="s">
        <v>306</v>
      </c>
      <c r="C6" s="6" t="s">
        <v>307</v>
      </c>
    </row>
    <row r="7" spans="1:3" x14ac:dyDescent="0.45">
      <c r="A7" s="6" t="s">
        <v>317</v>
      </c>
      <c r="B7" s="180" t="s">
        <v>319</v>
      </c>
      <c r="C7" s="6" t="s">
        <v>318</v>
      </c>
    </row>
    <row r="8" spans="1:3" x14ac:dyDescent="0.45">
      <c r="A8" s="6" t="s">
        <v>324</v>
      </c>
      <c r="B8" s="180" t="s">
        <v>325</v>
      </c>
      <c r="C8" s="6" t="s">
        <v>326</v>
      </c>
    </row>
    <row r="9" spans="1:3" x14ac:dyDescent="0.45">
      <c r="A9" s="6" t="s">
        <v>331</v>
      </c>
      <c r="B9" s="180" t="s">
        <v>333</v>
      </c>
      <c r="C9" s="6" t="s">
        <v>332</v>
      </c>
    </row>
    <row r="10" spans="1:3" x14ac:dyDescent="0.45">
      <c r="A10" s="6" t="s">
        <v>335</v>
      </c>
      <c r="B10" s="180" t="s">
        <v>337</v>
      </c>
      <c r="C10" s="6" t="s">
        <v>336</v>
      </c>
    </row>
    <row r="11" spans="1:3" x14ac:dyDescent="0.45">
      <c r="A11" s="6" t="s">
        <v>338</v>
      </c>
      <c r="B11" s="180" t="s">
        <v>339</v>
      </c>
      <c r="C11" s="6" t="s">
        <v>340</v>
      </c>
    </row>
    <row r="12" spans="1:3" x14ac:dyDescent="0.45">
      <c r="A12" s="6" t="s">
        <v>348</v>
      </c>
      <c r="B12" s="180" t="s">
        <v>346</v>
      </c>
      <c r="C12" s="6" t="s">
        <v>347</v>
      </c>
    </row>
    <row r="13" spans="1:3" x14ac:dyDescent="0.45">
      <c r="A13" s="6" t="s">
        <v>350</v>
      </c>
      <c r="B13" s="180" t="s">
        <v>349</v>
      </c>
      <c r="C13" s="6" t="s">
        <v>336</v>
      </c>
    </row>
    <row r="14" spans="1:3" x14ac:dyDescent="0.45">
      <c r="A14" s="6" t="s">
        <v>353</v>
      </c>
      <c r="B14" s="180" t="s">
        <v>351</v>
      </c>
      <c r="C14" s="6" t="s">
        <v>352</v>
      </c>
    </row>
    <row r="15" spans="1:3" x14ac:dyDescent="0.45">
      <c r="A15" s="6" t="s">
        <v>354</v>
      </c>
      <c r="B15" s="180" t="s">
        <v>355</v>
      </c>
      <c r="C15" s="6" t="s">
        <v>356</v>
      </c>
    </row>
    <row r="16" spans="1:3" x14ac:dyDescent="0.45">
      <c r="A16" s="193" t="s">
        <v>357</v>
      </c>
      <c r="B16" s="180" t="s">
        <v>358</v>
      </c>
      <c r="C16" s="6" t="s">
        <v>359</v>
      </c>
    </row>
    <row r="17" spans="1:3" x14ac:dyDescent="0.45">
      <c r="A17" s="193" t="s">
        <v>360</v>
      </c>
      <c r="B17" s="180" t="s">
        <v>362</v>
      </c>
      <c r="C17" s="6" t="s">
        <v>361</v>
      </c>
    </row>
    <row r="18" spans="1:3" x14ac:dyDescent="0.45">
      <c r="A18" s="193" t="s">
        <v>363</v>
      </c>
      <c r="B18" s="180" t="s">
        <v>364</v>
      </c>
      <c r="C18" s="6" t="s">
        <v>366</v>
      </c>
    </row>
    <row r="19" spans="1:3" x14ac:dyDescent="0.45">
      <c r="A19" s="193" t="s">
        <v>367</v>
      </c>
      <c r="B19" s="180" t="s">
        <v>368</v>
      </c>
      <c r="C19" s="6" t="s">
        <v>369</v>
      </c>
    </row>
    <row r="20" spans="1:3" x14ac:dyDescent="0.45">
      <c r="A20" s="193" t="s">
        <v>378</v>
      </c>
      <c r="B20" s="180" t="s">
        <v>371</v>
      </c>
      <c r="C20" s="6" t="s">
        <v>370</v>
      </c>
    </row>
    <row r="21" spans="1:3" x14ac:dyDescent="0.45">
      <c r="A21" s="193" t="s">
        <v>379</v>
      </c>
      <c r="B21" s="180" t="s">
        <v>380</v>
      </c>
      <c r="C21" s="6" t="s">
        <v>284</v>
      </c>
    </row>
    <row r="22" spans="1:3" x14ac:dyDescent="0.45">
      <c r="A22" s="193" t="s">
        <v>382</v>
      </c>
      <c r="B22" s="180" t="s">
        <v>383</v>
      </c>
      <c r="C22" s="6" t="s">
        <v>384</v>
      </c>
    </row>
    <row r="23" spans="1:3" x14ac:dyDescent="0.45">
      <c r="A23" s="193" t="s">
        <v>385</v>
      </c>
      <c r="B23" s="180" t="s">
        <v>386</v>
      </c>
      <c r="C23" s="6" t="s">
        <v>387</v>
      </c>
    </row>
  </sheetData>
  <phoneticPr fontId="2" type="noConversion"/>
  <pageMargins left="0.7" right="0.7" top="0.75" bottom="0.75" header="0.3" footer="0.3"/>
  <pageSetup paperSize="148"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2"/>
  <dimension ref="A1:P169"/>
  <sheetViews>
    <sheetView tabSelected="1" zoomScale="85" zoomScaleNormal="85" workbookViewId="0">
      <pane ySplit="6" topLeftCell="A79" activePane="bottomLeft" state="frozen"/>
      <selection pane="bottomLeft" activeCell="J106" sqref="J106"/>
    </sheetView>
  </sheetViews>
  <sheetFormatPr defaultColWidth="9" defaultRowHeight="16.149999999999999" x14ac:dyDescent="0.45"/>
  <cols>
    <col min="1" max="1" width="13.46484375" style="1" customWidth="1"/>
    <col min="2" max="2" width="27.1328125" style="16" bestFit="1" customWidth="1"/>
    <col min="3" max="3" width="10.46484375" style="11" customWidth="1"/>
    <col min="4" max="4" width="1.86328125" style="1" customWidth="1"/>
    <col min="5" max="5" width="13.19921875" style="1" customWidth="1"/>
    <col min="6" max="6" width="26.33203125" style="1" customWidth="1"/>
    <col min="7" max="7" width="9.86328125" style="1" customWidth="1"/>
    <col min="8" max="8" width="1.46484375" style="1" bestFit="1" customWidth="1"/>
    <col min="9" max="9" width="12.796875" style="1" customWidth="1"/>
    <col min="10" max="10" width="26.46484375" style="1" customWidth="1"/>
    <col min="11" max="11" width="10.1328125" style="1" customWidth="1"/>
    <col min="12" max="12" width="1.46484375" style="1" bestFit="1" customWidth="1"/>
    <col min="13" max="13" width="12.86328125" style="1" customWidth="1"/>
    <col min="14" max="14" width="26.19921875" style="1" customWidth="1"/>
    <col min="15" max="15" width="10" style="1" customWidth="1"/>
    <col min="16" max="16" width="1.33203125" style="1" customWidth="1"/>
    <col min="17" max="16384" width="9" style="1"/>
  </cols>
  <sheetData>
    <row r="1" spans="1:16" s="2" customFormat="1" ht="24.6" customHeight="1" x14ac:dyDescent="0.45">
      <c r="A1" s="214" t="s">
        <v>389</v>
      </c>
      <c r="B1" s="215"/>
      <c r="C1" s="215"/>
      <c r="D1" s="215"/>
      <c r="E1" s="215"/>
      <c r="F1" s="215"/>
      <c r="G1" s="215"/>
      <c r="H1" s="215"/>
      <c r="I1" s="215"/>
      <c r="J1" s="215"/>
      <c r="K1" s="215"/>
      <c r="L1" s="215"/>
      <c r="M1" s="215"/>
      <c r="N1" s="215"/>
      <c r="O1" s="215"/>
      <c r="P1" s="215"/>
    </row>
    <row r="2" spans="1:16" s="2" customFormat="1" x14ac:dyDescent="0.45">
      <c r="A2" s="224" t="s">
        <v>33</v>
      </c>
      <c r="B2" s="225"/>
      <c r="C2" s="219" t="s">
        <v>388</v>
      </c>
      <c r="D2" s="220"/>
      <c r="E2" s="221"/>
      <c r="F2" s="90"/>
      <c r="G2" s="30"/>
      <c r="H2" s="30"/>
      <c r="I2" s="30"/>
      <c r="J2" s="30"/>
      <c r="K2" s="30"/>
      <c r="L2" s="30"/>
      <c r="M2" s="30"/>
      <c r="N2" s="30"/>
      <c r="O2" s="30"/>
      <c r="P2" s="30"/>
    </row>
    <row r="3" spans="1:16" s="2" customFormat="1" x14ac:dyDescent="0.45">
      <c r="A3" s="129"/>
      <c r="B3" s="130" t="s">
        <v>183</v>
      </c>
      <c r="C3" s="219" t="s">
        <v>381</v>
      </c>
      <c r="D3" s="222"/>
      <c r="E3" s="223"/>
      <c r="F3" s="113"/>
      <c r="G3" s="113"/>
      <c r="H3" s="113"/>
      <c r="I3" s="113"/>
      <c r="J3" s="113"/>
      <c r="K3" s="113"/>
      <c r="L3" s="113"/>
      <c r="M3" s="113"/>
      <c r="N3" s="113"/>
      <c r="O3" s="113"/>
      <c r="P3" s="113"/>
    </row>
    <row r="4" spans="1:16" s="2" customFormat="1" ht="7.25" customHeight="1" thickBot="1" x14ac:dyDescent="0.5">
      <c r="A4" s="120"/>
      <c r="B4" s="120"/>
      <c r="C4" s="126"/>
      <c r="D4" s="119"/>
      <c r="E4" s="128"/>
      <c r="F4" s="120"/>
      <c r="G4" s="120"/>
      <c r="H4" s="120"/>
      <c r="I4" s="120"/>
      <c r="J4" s="120"/>
      <c r="K4" s="120"/>
      <c r="L4" s="120"/>
      <c r="M4" s="120"/>
      <c r="N4" s="120"/>
      <c r="O4" s="120"/>
      <c r="P4" s="120"/>
    </row>
    <row r="5" spans="1:16" s="121" customFormat="1" ht="16.5" thickBot="1" x14ac:dyDescent="0.5">
      <c r="A5" s="202" t="s">
        <v>285</v>
      </c>
      <c r="B5" s="232"/>
      <c r="C5" s="127">
        <f>CEILING('Pool Memory'!D33,1024)</f>
        <v>573440</v>
      </c>
      <c r="E5" s="202" t="s">
        <v>265</v>
      </c>
      <c r="F5" s="203"/>
      <c r="G5" s="127">
        <f>CEILING('Pool Memory'!H33,1024)</f>
        <v>1056768</v>
      </c>
      <c r="I5" s="202" t="s">
        <v>266</v>
      </c>
      <c r="J5" s="203"/>
      <c r="K5" s="127">
        <f>CEILING('Pool Memory'!L33,1024)</f>
        <v>154624</v>
      </c>
      <c r="M5" s="202" t="s">
        <v>267</v>
      </c>
      <c r="N5" s="203"/>
      <c r="O5" s="127">
        <f>CEILING('Pool Memory'!P33,1024)</f>
        <v>0</v>
      </c>
    </row>
    <row r="6" spans="1:16" s="2" customFormat="1" ht="8" customHeight="1" thickBot="1" x14ac:dyDescent="0.5">
      <c r="A6" s="13"/>
      <c r="B6" s="13"/>
      <c r="C6" s="13"/>
      <c r="D6" s="13"/>
      <c r="E6" s="13"/>
    </row>
    <row r="7" spans="1:16" s="2" customFormat="1" ht="16.5" thickBot="1" x14ac:dyDescent="0.5">
      <c r="A7" s="216" t="s">
        <v>36</v>
      </c>
      <c r="B7" s="217"/>
      <c r="C7" s="218"/>
      <c r="D7" s="14"/>
      <c r="E7" s="226" t="s">
        <v>280</v>
      </c>
      <c r="F7" s="227"/>
      <c r="G7" s="228"/>
      <c r="I7" s="229" t="s">
        <v>281</v>
      </c>
      <c r="J7" s="230"/>
      <c r="K7" s="231"/>
      <c r="M7" s="229" t="s">
        <v>282</v>
      </c>
      <c r="N7" s="230"/>
      <c r="O7" s="231"/>
    </row>
    <row r="8" spans="1:16" ht="16.25" customHeight="1" x14ac:dyDescent="0.45">
      <c r="A8" s="207" t="s">
        <v>201</v>
      </c>
      <c r="B8" s="22" t="s">
        <v>327</v>
      </c>
      <c r="C8" s="17">
        <v>2</v>
      </c>
      <c r="D8" s="12"/>
      <c r="E8" s="171"/>
      <c r="F8" s="95"/>
      <c r="G8" s="172"/>
      <c r="I8" s="171"/>
      <c r="J8" s="95"/>
      <c r="K8" s="172"/>
      <c r="M8" s="171"/>
      <c r="N8" s="95"/>
      <c r="O8" s="172"/>
    </row>
    <row r="9" spans="1:16" s="91" customFormat="1" ht="16.25" customHeight="1" x14ac:dyDescent="0.45">
      <c r="A9" s="208"/>
      <c r="B9" s="23" t="s">
        <v>170</v>
      </c>
      <c r="C9" s="18">
        <v>0</v>
      </c>
      <c r="D9" s="12"/>
      <c r="E9" s="171"/>
      <c r="F9" s="95"/>
      <c r="G9" s="172"/>
      <c r="I9" s="171"/>
      <c r="J9" s="95"/>
      <c r="K9" s="172"/>
      <c r="M9" s="171"/>
      <c r="N9" s="95"/>
      <c r="O9" s="172"/>
    </row>
    <row r="10" spans="1:16" s="121" customFormat="1" ht="16.25" customHeight="1" x14ac:dyDescent="0.45">
      <c r="A10" s="208"/>
      <c r="B10" s="23" t="s">
        <v>189</v>
      </c>
      <c r="C10" s="18">
        <v>1.5</v>
      </c>
      <c r="D10" s="12"/>
      <c r="E10" s="171"/>
      <c r="F10" s="95"/>
      <c r="G10" s="172"/>
      <c r="I10" s="171"/>
      <c r="J10" s="95"/>
      <c r="K10" s="172"/>
      <c r="M10" s="171"/>
      <c r="N10" s="95"/>
      <c r="O10" s="172"/>
    </row>
    <row r="11" spans="1:16" x14ac:dyDescent="0.45">
      <c r="A11" s="208"/>
      <c r="B11" s="23" t="s">
        <v>190</v>
      </c>
      <c r="C11" s="18">
        <v>3840</v>
      </c>
      <c r="D11" s="12"/>
      <c r="E11" s="171"/>
      <c r="F11" s="95"/>
      <c r="G11" s="172"/>
      <c r="I11" s="171"/>
      <c r="J11" s="95"/>
      <c r="K11" s="172"/>
      <c r="M11" s="171"/>
      <c r="N11" s="95"/>
      <c r="O11" s="172"/>
    </row>
    <row r="12" spans="1:16" x14ac:dyDescent="0.45">
      <c r="A12" s="208"/>
      <c r="B12" s="23" t="s">
        <v>191</v>
      </c>
      <c r="C12" s="18">
        <v>2160</v>
      </c>
      <c r="D12" s="12"/>
      <c r="E12" s="171"/>
      <c r="F12" s="95"/>
      <c r="G12" s="172"/>
      <c r="I12" s="171"/>
      <c r="J12" s="95"/>
      <c r="K12" s="172"/>
      <c r="M12" s="171"/>
      <c r="N12" s="95"/>
      <c r="O12" s="172"/>
    </row>
    <row r="13" spans="1:16" s="121" customFormat="1" x14ac:dyDescent="0.45">
      <c r="A13" s="208"/>
      <c r="B13" s="23" t="s">
        <v>192</v>
      </c>
      <c r="C13" s="18">
        <v>4</v>
      </c>
      <c r="D13" s="12"/>
      <c r="E13" s="171"/>
      <c r="F13" s="95"/>
      <c r="G13" s="172"/>
      <c r="I13" s="171"/>
      <c r="J13" s="95"/>
      <c r="K13" s="172"/>
      <c r="M13" s="171"/>
      <c r="N13" s="95"/>
      <c r="O13" s="172"/>
    </row>
    <row r="14" spans="1:16" x14ac:dyDescent="0.45">
      <c r="A14" s="208"/>
      <c r="B14" s="23" t="s">
        <v>194</v>
      </c>
      <c r="C14" s="18">
        <v>4</v>
      </c>
      <c r="D14" s="12"/>
      <c r="E14" s="171"/>
      <c r="F14" s="95"/>
      <c r="G14" s="172"/>
      <c r="I14" s="171"/>
      <c r="J14" s="95"/>
      <c r="K14" s="172"/>
      <c r="M14" s="171"/>
      <c r="N14" s="95"/>
      <c r="O14" s="172"/>
    </row>
    <row r="15" spans="1:16" x14ac:dyDescent="0.45">
      <c r="A15" s="208"/>
      <c r="B15" s="23" t="s">
        <v>193</v>
      </c>
      <c r="C15" s="18">
        <v>1920</v>
      </c>
      <c r="D15" s="12"/>
      <c r="E15" s="171"/>
      <c r="F15" s="95"/>
      <c r="G15" s="172"/>
      <c r="I15" s="171"/>
      <c r="J15" s="95"/>
      <c r="K15" s="172"/>
      <c r="M15" s="171"/>
      <c r="N15" s="95"/>
      <c r="O15" s="172"/>
    </row>
    <row r="16" spans="1:16" s="121" customFormat="1" x14ac:dyDescent="0.45">
      <c r="A16" s="198"/>
      <c r="B16" s="23" t="s">
        <v>195</v>
      </c>
      <c r="C16" s="18">
        <v>1080</v>
      </c>
      <c r="D16" s="12"/>
      <c r="E16" s="171"/>
      <c r="F16" s="95"/>
      <c r="G16" s="172"/>
      <c r="I16" s="171"/>
      <c r="J16" s="95"/>
      <c r="K16" s="172"/>
      <c r="M16" s="171"/>
      <c r="N16" s="95"/>
      <c r="O16" s="172"/>
    </row>
    <row r="17" spans="1:15" s="121" customFormat="1" x14ac:dyDescent="0.45">
      <c r="A17" s="198"/>
      <c r="B17" s="23" t="s">
        <v>196</v>
      </c>
      <c r="C17" s="18">
        <v>1</v>
      </c>
      <c r="D17" s="12"/>
      <c r="E17" s="171"/>
      <c r="F17" s="95"/>
      <c r="G17" s="172"/>
      <c r="I17" s="171"/>
      <c r="J17" s="95"/>
      <c r="K17" s="172"/>
      <c r="M17" s="171"/>
      <c r="N17" s="95"/>
      <c r="O17" s="172"/>
    </row>
    <row r="18" spans="1:15" s="121" customFormat="1" x14ac:dyDescent="0.45">
      <c r="A18" s="198"/>
      <c r="B18" s="23" t="s">
        <v>197</v>
      </c>
      <c r="C18" s="18">
        <v>0</v>
      </c>
      <c r="D18" s="12"/>
      <c r="E18" s="171"/>
      <c r="F18" s="95"/>
      <c r="G18" s="172"/>
      <c r="I18" s="171"/>
      <c r="J18" s="95"/>
      <c r="K18" s="172"/>
      <c r="M18" s="171"/>
      <c r="N18" s="95"/>
      <c r="O18" s="172"/>
    </row>
    <row r="19" spans="1:15" s="121" customFormat="1" x14ac:dyDescent="0.45">
      <c r="A19" s="198"/>
      <c r="B19" s="23" t="s">
        <v>198</v>
      </c>
      <c r="C19" s="18">
        <v>5</v>
      </c>
      <c r="D19" s="12"/>
      <c r="E19" s="171"/>
      <c r="F19" s="95"/>
      <c r="G19" s="172"/>
      <c r="I19" s="171"/>
      <c r="J19" s="95"/>
      <c r="K19" s="172"/>
      <c r="M19" s="171"/>
      <c r="N19" s="95"/>
      <c r="O19" s="172"/>
    </row>
    <row r="20" spans="1:15" s="121" customFormat="1" x14ac:dyDescent="0.45">
      <c r="A20" s="198"/>
      <c r="B20" s="23" t="s">
        <v>199</v>
      </c>
      <c r="C20" s="18">
        <v>1.125</v>
      </c>
      <c r="D20" s="12"/>
      <c r="E20" s="171"/>
      <c r="F20" s="95"/>
      <c r="G20" s="172"/>
      <c r="I20" s="171"/>
      <c r="J20" s="95"/>
      <c r="K20" s="172"/>
      <c r="M20" s="171"/>
      <c r="N20" s="95"/>
      <c r="O20" s="172"/>
    </row>
    <row r="21" spans="1:15" s="121" customFormat="1" x14ac:dyDescent="0.45">
      <c r="A21" s="198"/>
      <c r="B21" s="23" t="s">
        <v>200</v>
      </c>
      <c r="C21" s="18">
        <v>1</v>
      </c>
      <c r="D21" s="12"/>
      <c r="E21" s="171"/>
      <c r="F21" s="95"/>
      <c r="G21" s="172"/>
      <c r="I21" s="171"/>
      <c r="J21" s="95"/>
      <c r="K21" s="172"/>
      <c r="M21" s="171"/>
      <c r="N21" s="95"/>
      <c r="O21" s="172"/>
    </row>
    <row r="22" spans="1:15" s="137" customFormat="1" ht="16.5" thickBot="1" x14ac:dyDescent="0.5">
      <c r="A22" s="206"/>
      <c r="B22" s="138" t="s">
        <v>230</v>
      </c>
      <c r="C22" s="122">
        <v>2</v>
      </c>
      <c r="D22" s="12"/>
      <c r="E22" s="171"/>
      <c r="F22" s="95"/>
      <c r="G22" s="172"/>
      <c r="I22" s="171"/>
      <c r="J22" s="95"/>
      <c r="K22" s="172"/>
      <c r="M22" s="171"/>
      <c r="N22" s="95"/>
      <c r="O22" s="172"/>
    </row>
    <row r="23" spans="1:15" ht="16.25" customHeight="1" x14ac:dyDescent="0.45">
      <c r="A23" s="207" t="s">
        <v>202</v>
      </c>
      <c r="B23" s="22" t="s">
        <v>327</v>
      </c>
      <c r="C23" s="17">
        <v>2</v>
      </c>
      <c r="D23" s="11"/>
      <c r="E23" s="171"/>
      <c r="F23" s="95"/>
      <c r="G23" s="172"/>
      <c r="I23" s="171"/>
      <c r="J23" s="95"/>
      <c r="K23" s="172"/>
      <c r="M23" s="171"/>
      <c r="N23" s="95"/>
      <c r="O23" s="172"/>
    </row>
    <row r="24" spans="1:15" s="121" customFormat="1" ht="16.25" customHeight="1" x14ac:dyDescent="0.45">
      <c r="A24" s="208"/>
      <c r="B24" s="23" t="s">
        <v>170</v>
      </c>
      <c r="C24" s="18">
        <v>0</v>
      </c>
      <c r="D24" s="11"/>
      <c r="E24" s="171"/>
      <c r="F24" s="95"/>
      <c r="G24" s="172"/>
      <c r="I24" s="171"/>
      <c r="J24" s="95"/>
      <c r="K24" s="172"/>
      <c r="M24" s="171"/>
      <c r="N24" s="95"/>
      <c r="O24" s="172"/>
    </row>
    <row r="25" spans="1:15" s="121" customFormat="1" ht="16.25" customHeight="1" x14ac:dyDescent="0.45">
      <c r="A25" s="208"/>
      <c r="B25" s="23" t="s">
        <v>189</v>
      </c>
      <c r="C25" s="18">
        <v>1.5</v>
      </c>
      <c r="D25" s="11"/>
      <c r="E25" s="171"/>
      <c r="F25" s="95"/>
      <c r="G25" s="172"/>
      <c r="I25" s="171"/>
      <c r="J25" s="95"/>
      <c r="K25" s="172"/>
      <c r="M25" s="171"/>
      <c r="N25" s="95"/>
      <c r="O25" s="172"/>
    </row>
    <row r="26" spans="1:15" x14ac:dyDescent="0.45">
      <c r="A26" s="208"/>
      <c r="B26" s="23" t="s">
        <v>190</v>
      </c>
      <c r="C26" s="18">
        <v>1920</v>
      </c>
      <c r="D26" s="12"/>
      <c r="E26" s="171"/>
      <c r="F26" s="95"/>
      <c r="G26" s="172"/>
      <c r="I26" s="171"/>
      <c r="J26" s="95"/>
      <c r="K26" s="172"/>
      <c r="M26" s="171"/>
      <c r="N26" s="95"/>
      <c r="O26" s="172"/>
    </row>
    <row r="27" spans="1:15" x14ac:dyDescent="0.45">
      <c r="A27" s="208"/>
      <c r="B27" s="23" t="s">
        <v>191</v>
      </c>
      <c r="C27" s="18">
        <v>1080</v>
      </c>
      <c r="D27" s="12"/>
      <c r="E27" s="171"/>
      <c r="F27" s="95"/>
      <c r="G27" s="172"/>
      <c r="I27" s="171"/>
      <c r="J27" s="95"/>
      <c r="K27" s="172"/>
      <c r="M27" s="171"/>
      <c r="N27" s="95"/>
      <c r="O27" s="172"/>
    </row>
    <row r="28" spans="1:15" s="121" customFormat="1" x14ac:dyDescent="0.45">
      <c r="A28" s="198"/>
      <c r="B28" s="23" t="s">
        <v>192</v>
      </c>
      <c r="C28" s="18">
        <v>4</v>
      </c>
      <c r="D28" s="12"/>
      <c r="E28" s="171"/>
      <c r="F28" s="95"/>
      <c r="G28" s="172"/>
      <c r="I28" s="171"/>
      <c r="J28" s="95"/>
      <c r="K28" s="172"/>
      <c r="M28" s="171"/>
      <c r="N28" s="95"/>
      <c r="O28" s="172"/>
    </row>
    <row r="29" spans="1:15" s="121" customFormat="1" x14ac:dyDescent="0.45">
      <c r="A29" s="198"/>
      <c r="B29" s="23" t="s">
        <v>194</v>
      </c>
      <c r="C29" s="18">
        <v>2</v>
      </c>
      <c r="D29" s="12"/>
      <c r="E29" s="171"/>
      <c r="F29" s="95"/>
      <c r="G29" s="172"/>
      <c r="I29" s="171"/>
      <c r="J29" s="95"/>
      <c r="K29" s="172"/>
      <c r="M29" s="171"/>
      <c r="N29" s="95"/>
      <c r="O29" s="172"/>
    </row>
    <row r="30" spans="1:15" s="121" customFormat="1" x14ac:dyDescent="0.45">
      <c r="A30" s="198"/>
      <c r="B30" s="23" t="s">
        <v>193</v>
      </c>
      <c r="C30" s="18">
        <v>1920</v>
      </c>
      <c r="D30" s="12"/>
      <c r="E30" s="171"/>
      <c r="F30" s="95"/>
      <c r="G30" s="172"/>
      <c r="I30" s="171"/>
      <c r="J30" s="95"/>
      <c r="K30" s="172"/>
      <c r="M30" s="171"/>
      <c r="N30" s="95"/>
      <c r="O30" s="172"/>
    </row>
    <row r="31" spans="1:15" s="121" customFormat="1" x14ac:dyDescent="0.45">
      <c r="A31" s="198"/>
      <c r="B31" s="23" t="s">
        <v>195</v>
      </c>
      <c r="C31" s="18">
        <v>1080</v>
      </c>
      <c r="D31" s="12"/>
      <c r="E31" s="171"/>
      <c r="F31" s="95"/>
      <c r="G31" s="172"/>
      <c r="I31" s="171"/>
      <c r="J31" s="95"/>
      <c r="K31" s="172"/>
      <c r="M31" s="171"/>
      <c r="N31" s="95"/>
      <c r="O31" s="172"/>
    </row>
    <row r="32" spans="1:15" s="121" customFormat="1" x14ac:dyDescent="0.45">
      <c r="A32" s="198"/>
      <c r="B32" s="23" t="s">
        <v>196</v>
      </c>
      <c r="C32" s="18">
        <v>1</v>
      </c>
      <c r="D32" s="12"/>
      <c r="E32" s="171"/>
      <c r="F32" s="95"/>
      <c r="G32" s="172"/>
      <c r="I32" s="171"/>
      <c r="J32" s="95"/>
      <c r="K32" s="172"/>
      <c r="M32" s="171"/>
      <c r="N32" s="95"/>
      <c r="O32" s="172"/>
    </row>
    <row r="33" spans="1:15" s="121" customFormat="1" x14ac:dyDescent="0.45">
      <c r="A33" s="198"/>
      <c r="B33" s="23" t="s">
        <v>197</v>
      </c>
      <c r="C33" s="18">
        <v>0</v>
      </c>
      <c r="D33" s="12"/>
      <c r="E33" s="171"/>
      <c r="F33" s="95"/>
      <c r="G33" s="172"/>
      <c r="I33" s="171"/>
      <c r="J33" s="95"/>
      <c r="K33" s="172"/>
      <c r="M33" s="171"/>
      <c r="N33" s="95"/>
      <c r="O33" s="172"/>
    </row>
    <row r="34" spans="1:15" s="121" customFormat="1" x14ac:dyDescent="0.45">
      <c r="A34" s="198"/>
      <c r="B34" s="23" t="s">
        <v>198</v>
      </c>
      <c r="C34" s="18">
        <v>4</v>
      </c>
      <c r="D34" s="12"/>
      <c r="E34" s="171"/>
      <c r="F34" s="95"/>
      <c r="G34" s="172"/>
      <c r="I34" s="171"/>
      <c r="J34" s="95"/>
      <c r="K34" s="172"/>
      <c r="M34" s="171"/>
      <c r="N34" s="95"/>
      <c r="O34" s="172"/>
    </row>
    <row r="35" spans="1:15" s="121" customFormat="1" x14ac:dyDescent="0.45">
      <c r="A35" s="198"/>
      <c r="B35" s="23" t="s">
        <v>199</v>
      </c>
      <c r="C35" s="18">
        <v>1.125</v>
      </c>
      <c r="D35" s="12"/>
      <c r="E35" s="171"/>
      <c r="F35" s="95"/>
      <c r="G35" s="172"/>
      <c r="I35" s="171"/>
      <c r="J35" s="95"/>
      <c r="K35" s="172"/>
      <c r="M35" s="171"/>
      <c r="N35" s="95"/>
      <c r="O35" s="172"/>
    </row>
    <row r="36" spans="1:15" s="121" customFormat="1" x14ac:dyDescent="0.45">
      <c r="A36" s="198"/>
      <c r="B36" s="23" t="s">
        <v>200</v>
      </c>
      <c r="C36" s="18">
        <v>1</v>
      </c>
      <c r="D36" s="12"/>
      <c r="E36" s="171"/>
      <c r="F36" s="95"/>
      <c r="G36" s="172"/>
      <c r="I36" s="171"/>
      <c r="J36" s="95"/>
      <c r="K36" s="172"/>
      <c r="M36" s="171"/>
      <c r="N36" s="95"/>
      <c r="O36" s="172"/>
    </row>
    <row r="37" spans="1:15" s="137" customFormat="1" ht="16.5" thickBot="1" x14ac:dyDescent="0.5">
      <c r="A37" s="206"/>
      <c r="B37" s="138" t="s">
        <v>231</v>
      </c>
      <c r="C37" s="122">
        <v>2</v>
      </c>
      <c r="D37" s="12"/>
      <c r="E37" s="171"/>
      <c r="F37" s="95"/>
      <c r="G37" s="172"/>
      <c r="I37" s="171"/>
      <c r="J37" s="95"/>
      <c r="K37" s="172"/>
      <c r="M37" s="171"/>
      <c r="N37" s="95"/>
      <c r="O37" s="172"/>
    </row>
    <row r="38" spans="1:15" ht="16.25" customHeight="1" x14ac:dyDescent="0.45">
      <c r="A38" s="207" t="s">
        <v>203</v>
      </c>
      <c r="B38" s="22" t="s">
        <v>327</v>
      </c>
      <c r="C38" s="17">
        <v>2</v>
      </c>
      <c r="E38" s="171"/>
      <c r="F38" s="95"/>
      <c r="G38" s="172"/>
      <c r="I38" s="171"/>
      <c r="J38" s="95"/>
      <c r="K38" s="172"/>
      <c r="M38" s="171"/>
      <c r="N38" s="95"/>
      <c r="O38" s="172"/>
    </row>
    <row r="39" spans="1:15" x14ac:dyDescent="0.45">
      <c r="A39" s="208"/>
      <c r="B39" s="23" t="s">
        <v>170</v>
      </c>
      <c r="C39" s="18">
        <v>0</v>
      </c>
      <c r="E39" s="171"/>
      <c r="F39" s="95"/>
      <c r="G39" s="172"/>
      <c r="I39" s="171"/>
      <c r="J39" s="95"/>
      <c r="K39" s="172"/>
      <c r="M39" s="171"/>
      <c r="N39" s="95"/>
      <c r="O39" s="172"/>
    </row>
    <row r="40" spans="1:15" x14ac:dyDescent="0.45">
      <c r="A40" s="208"/>
      <c r="B40" s="23" t="s">
        <v>189</v>
      </c>
      <c r="C40" s="18">
        <v>2</v>
      </c>
      <c r="E40" s="171"/>
      <c r="F40" s="95"/>
      <c r="G40" s="172"/>
      <c r="I40" s="171"/>
      <c r="J40" s="95"/>
      <c r="K40" s="172"/>
      <c r="M40" s="171"/>
      <c r="N40" s="95"/>
      <c r="O40" s="172"/>
    </row>
    <row r="41" spans="1:15" s="121" customFormat="1" x14ac:dyDescent="0.45">
      <c r="A41" s="208"/>
      <c r="B41" s="23" t="s">
        <v>190</v>
      </c>
      <c r="C41" s="18">
        <v>720</v>
      </c>
      <c r="E41" s="171"/>
      <c r="F41" s="95"/>
      <c r="G41" s="172"/>
      <c r="I41" s="171"/>
      <c r="J41" s="95"/>
      <c r="K41" s="172"/>
      <c r="M41" s="171"/>
      <c r="N41" s="95"/>
      <c r="O41" s="172"/>
    </row>
    <row r="42" spans="1:15" s="121" customFormat="1" x14ac:dyDescent="0.45">
      <c r="A42" s="208"/>
      <c r="B42" s="23" t="s">
        <v>191</v>
      </c>
      <c r="C42" s="18">
        <v>576</v>
      </c>
      <c r="E42" s="171"/>
      <c r="F42" s="95"/>
      <c r="G42" s="172"/>
      <c r="I42" s="171"/>
      <c r="J42" s="95"/>
      <c r="K42" s="172"/>
      <c r="M42" s="171"/>
      <c r="N42" s="95"/>
      <c r="O42" s="172"/>
    </row>
    <row r="43" spans="1:15" s="121" customFormat="1" x14ac:dyDescent="0.45">
      <c r="A43" s="198"/>
      <c r="B43" s="23" t="s">
        <v>192</v>
      </c>
      <c r="C43" s="18">
        <v>4</v>
      </c>
      <c r="E43" s="171"/>
      <c r="F43" s="95"/>
      <c r="G43" s="172"/>
      <c r="I43" s="171"/>
      <c r="J43" s="95"/>
      <c r="K43" s="172"/>
      <c r="M43" s="171"/>
      <c r="N43" s="95"/>
      <c r="O43" s="172"/>
    </row>
    <row r="44" spans="1:15" s="121" customFormat="1" x14ac:dyDescent="0.45">
      <c r="A44" s="198"/>
      <c r="B44" s="23" t="s">
        <v>194</v>
      </c>
      <c r="C44" s="18">
        <v>2</v>
      </c>
      <c r="E44" s="171"/>
      <c r="F44" s="95"/>
      <c r="G44" s="172"/>
      <c r="I44" s="171"/>
      <c r="J44" s="95"/>
      <c r="K44" s="172"/>
      <c r="M44" s="171"/>
      <c r="N44" s="95"/>
      <c r="O44" s="172"/>
    </row>
    <row r="45" spans="1:15" s="121" customFormat="1" x14ac:dyDescent="0.45">
      <c r="A45" s="198"/>
      <c r="B45" s="23" t="s">
        <v>193</v>
      </c>
      <c r="C45" s="18">
        <v>720</v>
      </c>
      <c r="E45" s="171"/>
      <c r="F45" s="95"/>
      <c r="G45" s="172"/>
      <c r="I45" s="171"/>
      <c r="J45" s="95"/>
      <c r="K45" s="172"/>
      <c r="M45" s="171"/>
      <c r="N45" s="95"/>
      <c r="O45" s="172"/>
    </row>
    <row r="46" spans="1:15" s="121" customFormat="1" x14ac:dyDescent="0.45">
      <c r="A46" s="198"/>
      <c r="B46" s="23" t="s">
        <v>195</v>
      </c>
      <c r="C46" s="18">
        <v>576</v>
      </c>
      <c r="E46" s="171"/>
      <c r="F46" s="95"/>
      <c r="G46" s="172"/>
      <c r="I46" s="171"/>
      <c r="J46" s="95"/>
      <c r="K46" s="172"/>
      <c r="M46" s="171"/>
      <c r="N46" s="95"/>
      <c r="O46" s="172"/>
    </row>
    <row r="47" spans="1:15" s="121" customFormat="1" x14ac:dyDescent="0.45">
      <c r="A47" s="198"/>
      <c r="B47" s="23" t="s">
        <v>196</v>
      </c>
      <c r="C47" s="18">
        <v>0</v>
      </c>
      <c r="E47" s="171"/>
      <c r="F47" s="95"/>
      <c r="G47" s="172"/>
      <c r="I47" s="171"/>
      <c r="J47" s="95"/>
      <c r="K47" s="172"/>
      <c r="M47" s="171"/>
      <c r="N47" s="95"/>
      <c r="O47" s="172"/>
    </row>
    <row r="48" spans="1:15" s="121" customFormat="1" x14ac:dyDescent="0.45">
      <c r="A48" s="198"/>
      <c r="B48" s="23" t="s">
        <v>197</v>
      </c>
      <c r="C48" s="18">
        <v>0</v>
      </c>
      <c r="E48" s="171"/>
      <c r="F48" s="95"/>
      <c r="G48" s="172"/>
      <c r="I48" s="171"/>
      <c r="J48" s="95"/>
      <c r="K48" s="172"/>
      <c r="M48" s="171"/>
      <c r="N48" s="95"/>
      <c r="O48" s="172"/>
    </row>
    <row r="49" spans="1:16" s="121" customFormat="1" x14ac:dyDescent="0.45">
      <c r="A49" s="198"/>
      <c r="B49" s="23" t="s">
        <v>198</v>
      </c>
      <c r="C49" s="18">
        <v>4</v>
      </c>
      <c r="E49" s="171"/>
      <c r="F49" s="95"/>
      <c r="G49" s="172"/>
      <c r="I49" s="171"/>
      <c r="J49" s="95"/>
      <c r="K49" s="172"/>
      <c r="M49" s="171"/>
      <c r="N49" s="95"/>
      <c r="O49" s="172"/>
    </row>
    <row r="50" spans="1:16" s="121" customFormat="1" x14ac:dyDescent="0.45">
      <c r="A50" s="198"/>
      <c r="B50" s="23" t="s">
        <v>199</v>
      </c>
      <c r="C50" s="18">
        <v>1.125</v>
      </c>
      <c r="E50" s="171"/>
      <c r="F50" s="95"/>
      <c r="G50" s="172"/>
      <c r="I50" s="171"/>
      <c r="J50" s="95"/>
      <c r="K50" s="172"/>
      <c r="M50" s="171"/>
      <c r="N50" s="95"/>
      <c r="O50" s="172"/>
    </row>
    <row r="51" spans="1:16" s="121" customFormat="1" x14ac:dyDescent="0.45">
      <c r="A51" s="198"/>
      <c r="B51" s="23" t="s">
        <v>200</v>
      </c>
      <c r="C51" s="18">
        <v>1</v>
      </c>
      <c r="E51" s="171"/>
      <c r="F51" s="95"/>
      <c r="G51" s="172"/>
      <c r="I51" s="171"/>
      <c r="J51" s="95"/>
      <c r="K51" s="172"/>
      <c r="M51" s="171"/>
      <c r="N51" s="95"/>
      <c r="O51" s="172"/>
    </row>
    <row r="52" spans="1:16" s="137" customFormat="1" ht="16.5" thickBot="1" x14ac:dyDescent="0.5">
      <c r="A52" s="206"/>
      <c r="B52" s="138" t="s">
        <v>231</v>
      </c>
      <c r="C52" s="122">
        <v>2</v>
      </c>
      <c r="E52" s="171"/>
      <c r="F52" s="95"/>
      <c r="G52" s="172"/>
      <c r="H52" s="164"/>
      <c r="I52" s="171"/>
      <c r="J52" s="95"/>
      <c r="K52" s="172"/>
      <c r="L52" s="164"/>
      <c r="M52" s="171"/>
      <c r="N52" s="95"/>
      <c r="O52" s="172"/>
      <c r="P52" s="164"/>
    </row>
    <row r="53" spans="1:16" x14ac:dyDescent="0.45">
      <c r="A53" s="196" t="s">
        <v>32</v>
      </c>
      <c r="B53" s="24" t="s">
        <v>5</v>
      </c>
      <c r="C53" s="21">
        <v>0</v>
      </c>
      <c r="E53" s="196" t="s">
        <v>32</v>
      </c>
      <c r="F53" s="24" t="s">
        <v>5</v>
      </c>
      <c r="G53" s="21">
        <v>16</v>
      </c>
      <c r="I53" s="196" t="s">
        <v>32</v>
      </c>
      <c r="J53" s="24" t="s">
        <v>5</v>
      </c>
      <c r="K53" s="21">
        <v>0</v>
      </c>
      <c r="M53" s="196" t="s">
        <v>32</v>
      </c>
      <c r="N53" s="24" t="s">
        <v>5</v>
      </c>
      <c r="O53" s="21">
        <v>0</v>
      </c>
    </row>
    <row r="54" spans="1:16" x14ac:dyDescent="0.45">
      <c r="A54" s="197"/>
      <c r="B54" s="25" t="s">
        <v>29</v>
      </c>
      <c r="C54" s="19">
        <v>3840</v>
      </c>
      <c r="E54" s="197"/>
      <c r="F54" s="25" t="s">
        <v>29</v>
      </c>
      <c r="G54" s="19">
        <v>3840</v>
      </c>
      <c r="I54" s="197"/>
      <c r="J54" s="25" t="s">
        <v>29</v>
      </c>
      <c r="K54" s="19">
        <v>1920</v>
      </c>
      <c r="M54" s="197"/>
      <c r="N54" s="25" t="s">
        <v>29</v>
      </c>
      <c r="O54" s="19">
        <v>1920</v>
      </c>
    </row>
    <row r="55" spans="1:16" x14ac:dyDescent="0.45">
      <c r="A55" s="197"/>
      <c r="B55" s="25" t="s">
        <v>67</v>
      </c>
      <c r="C55" s="19">
        <v>2160</v>
      </c>
      <c r="E55" s="197"/>
      <c r="F55" s="25" t="s">
        <v>67</v>
      </c>
      <c r="G55" s="19">
        <v>2160</v>
      </c>
      <c r="I55" s="197"/>
      <c r="J55" s="25" t="s">
        <v>67</v>
      </c>
      <c r="K55" s="19">
        <v>1080</v>
      </c>
      <c r="M55" s="197"/>
      <c r="N55" s="25" t="s">
        <v>67</v>
      </c>
      <c r="O55" s="19">
        <v>1080</v>
      </c>
    </row>
    <row r="56" spans="1:16" s="121" customFormat="1" x14ac:dyDescent="0.45">
      <c r="A56" s="197"/>
      <c r="B56" s="25" t="s">
        <v>68</v>
      </c>
      <c r="C56" s="19">
        <v>3</v>
      </c>
      <c r="E56" s="197"/>
      <c r="F56" s="25" t="s">
        <v>68</v>
      </c>
      <c r="G56" s="19">
        <v>2</v>
      </c>
      <c r="I56" s="197"/>
      <c r="J56" s="25" t="s">
        <v>68</v>
      </c>
      <c r="K56" s="19">
        <v>3</v>
      </c>
      <c r="M56" s="197"/>
      <c r="N56" s="25" t="s">
        <v>68</v>
      </c>
      <c r="O56" s="19">
        <v>3</v>
      </c>
    </row>
    <row r="57" spans="1:16" s="121" customFormat="1" x14ac:dyDescent="0.45">
      <c r="A57" s="197"/>
      <c r="B57" s="25" t="s">
        <v>225</v>
      </c>
      <c r="C57" s="19">
        <v>8192</v>
      </c>
      <c r="E57" s="197"/>
      <c r="F57" s="25" t="s">
        <v>210</v>
      </c>
      <c r="G57" s="19">
        <f>C57</f>
        <v>8192</v>
      </c>
      <c r="I57" s="197"/>
      <c r="J57" s="25" t="s">
        <v>210</v>
      </c>
      <c r="K57" s="19">
        <f>C57</f>
        <v>8192</v>
      </c>
      <c r="M57" s="197"/>
      <c r="N57" s="25" t="s">
        <v>210</v>
      </c>
      <c r="O57" s="19">
        <f>C57</f>
        <v>8192</v>
      </c>
    </row>
    <row r="58" spans="1:16" s="121" customFormat="1" x14ac:dyDescent="0.45">
      <c r="A58" s="197"/>
      <c r="B58" s="25" t="s">
        <v>206</v>
      </c>
      <c r="C58" s="19">
        <v>0.3</v>
      </c>
      <c r="E58" s="197"/>
      <c r="F58" s="25" t="s">
        <v>206</v>
      </c>
      <c r="G58" s="19">
        <f>C58</f>
        <v>0.3</v>
      </c>
      <c r="I58" s="197"/>
      <c r="J58" s="25" t="s">
        <v>206</v>
      </c>
      <c r="K58" s="19">
        <f>C58</f>
        <v>0.3</v>
      </c>
      <c r="M58" s="197"/>
      <c r="N58" s="25" t="s">
        <v>206</v>
      </c>
      <c r="O58" s="19">
        <f>C58</f>
        <v>0.3</v>
      </c>
    </row>
    <row r="59" spans="1:16" s="121" customFormat="1" x14ac:dyDescent="0.45">
      <c r="A59" s="197"/>
      <c r="B59" s="25" t="s">
        <v>207</v>
      </c>
      <c r="C59" s="19">
        <v>2</v>
      </c>
      <c r="E59" s="197"/>
      <c r="F59" s="25" t="s">
        <v>207</v>
      </c>
      <c r="G59" s="19">
        <f>C59</f>
        <v>2</v>
      </c>
      <c r="I59" s="197"/>
      <c r="J59" s="25" t="s">
        <v>207</v>
      </c>
      <c r="K59" s="19">
        <f>C59</f>
        <v>2</v>
      </c>
      <c r="M59" s="197"/>
      <c r="N59" s="25" t="s">
        <v>207</v>
      </c>
      <c r="O59" s="19">
        <f>C59</f>
        <v>2</v>
      </c>
    </row>
    <row r="60" spans="1:16" s="121" customFormat="1" x14ac:dyDescent="0.45">
      <c r="A60" s="198"/>
      <c r="B60" s="25" t="s">
        <v>208</v>
      </c>
      <c r="C60" s="19">
        <v>7</v>
      </c>
      <c r="E60" s="198"/>
      <c r="F60" s="25" t="s">
        <v>209</v>
      </c>
      <c r="G60" s="19">
        <v>7</v>
      </c>
      <c r="I60" s="198"/>
      <c r="J60" s="25" t="s">
        <v>208</v>
      </c>
      <c r="K60" s="19">
        <v>7</v>
      </c>
      <c r="M60" s="198"/>
      <c r="N60" s="25" t="s">
        <v>209</v>
      </c>
      <c r="O60" s="19">
        <v>7</v>
      </c>
    </row>
    <row r="61" spans="1:16" s="137" customFormat="1" x14ac:dyDescent="0.45">
      <c r="A61" s="198"/>
      <c r="B61" s="25" t="s">
        <v>235</v>
      </c>
      <c r="C61" s="19">
        <v>3840</v>
      </c>
      <c r="E61" s="198"/>
      <c r="F61" s="25" t="s">
        <v>236</v>
      </c>
      <c r="G61" s="19">
        <f>C61</f>
        <v>3840</v>
      </c>
      <c r="I61" s="198"/>
      <c r="J61" s="25" t="s">
        <v>236</v>
      </c>
      <c r="K61" s="19">
        <f>C61</f>
        <v>3840</v>
      </c>
      <c r="M61" s="198"/>
      <c r="N61" s="25" t="s">
        <v>236</v>
      </c>
      <c r="O61" s="19">
        <f>C61</f>
        <v>3840</v>
      </c>
    </row>
    <row r="62" spans="1:16" s="137" customFormat="1" x14ac:dyDescent="0.45">
      <c r="A62" s="198"/>
      <c r="B62" s="25" t="s">
        <v>234</v>
      </c>
      <c r="C62" s="19">
        <v>2160</v>
      </c>
      <c r="E62" s="198"/>
      <c r="F62" s="25" t="s">
        <v>237</v>
      </c>
      <c r="G62" s="19">
        <f>C62</f>
        <v>2160</v>
      </c>
      <c r="I62" s="198"/>
      <c r="J62" s="25" t="s">
        <v>237</v>
      </c>
      <c r="K62" s="19">
        <f>C62</f>
        <v>2160</v>
      </c>
      <c r="M62" s="198"/>
      <c r="N62" s="25" t="s">
        <v>237</v>
      </c>
      <c r="O62" s="19">
        <f>C62</f>
        <v>2160</v>
      </c>
    </row>
    <row r="63" spans="1:16" s="184" customFormat="1" x14ac:dyDescent="0.45">
      <c r="A63" s="198"/>
      <c r="B63" s="25" t="s">
        <v>308</v>
      </c>
      <c r="C63" s="19">
        <v>3</v>
      </c>
      <c r="E63" s="198"/>
      <c r="F63" s="25" t="s">
        <v>308</v>
      </c>
      <c r="G63" s="19">
        <f>C63</f>
        <v>3</v>
      </c>
      <c r="I63" s="198"/>
      <c r="J63" s="25" t="s">
        <v>308</v>
      </c>
      <c r="K63" s="19">
        <f>C63</f>
        <v>3</v>
      </c>
      <c r="M63" s="198"/>
      <c r="N63" s="25" t="s">
        <v>308</v>
      </c>
      <c r="O63" s="19">
        <f>C63</f>
        <v>3</v>
      </c>
    </row>
    <row r="64" spans="1:16" s="184" customFormat="1" ht="16.5" thickBot="1" x14ac:dyDescent="0.5">
      <c r="A64" s="206"/>
      <c r="B64" s="52" t="s">
        <v>309</v>
      </c>
      <c r="C64" s="37">
        <v>3</v>
      </c>
      <c r="E64" s="206"/>
      <c r="F64" s="52" t="s">
        <v>310</v>
      </c>
      <c r="G64" s="37">
        <v>3</v>
      </c>
      <c r="I64" s="206"/>
      <c r="J64" s="52" t="s">
        <v>310</v>
      </c>
      <c r="K64" s="37">
        <v>3</v>
      </c>
      <c r="M64" s="206"/>
      <c r="N64" s="52" t="s">
        <v>310</v>
      </c>
      <c r="O64" s="37">
        <v>3</v>
      </c>
    </row>
    <row r="65" spans="1:15" x14ac:dyDescent="0.45">
      <c r="A65" s="196" t="s">
        <v>30</v>
      </c>
      <c r="B65" s="24" t="s">
        <v>5</v>
      </c>
      <c r="C65" s="21">
        <v>0</v>
      </c>
      <c r="E65" s="196" t="s">
        <v>30</v>
      </c>
      <c r="F65" s="24" t="s">
        <v>5</v>
      </c>
      <c r="G65" s="21">
        <v>0</v>
      </c>
      <c r="I65" s="196" t="s">
        <v>30</v>
      </c>
      <c r="J65" s="24" t="s">
        <v>5</v>
      </c>
      <c r="K65" s="21">
        <v>1</v>
      </c>
      <c r="M65" s="196" t="s">
        <v>30</v>
      </c>
      <c r="N65" s="24" t="s">
        <v>5</v>
      </c>
      <c r="O65" s="21">
        <v>0</v>
      </c>
    </row>
    <row r="66" spans="1:15" x14ac:dyDescent="0.45">
      <c r="A66" s="197"/>
      <c r="B66" s="25" t="s">
        <v>27</v>
      </c>
      <c r="C66" s="19">
        <v>2560</v>
      </c>
      <c r="E66" s="197"/>
      <c r="F66" s="25" t="s">
        <v>27</v>
      </c>
      <c r="G66" s="19">
        <v>2560</v>
      </c>
      <c r="I66" s="197"/>
      <c r="J66" s="25" t="s">
        <v>27</v>
      </c>
      <c r="K66" s="19">
        <v>2560</v>
      </c>
      <c r="M66" s="197"/>
      <c r="N66" s="25" t="s">
        <v>27</v>
      </c>
      <c r="O66" s="19">
        <v>2560</v>
      </c>
    </row>
    <row r="67" spans="1:15" x14ac:dyDescent="0.45">
      <c r="A67" s="197"/>
      <c r="B67" s="25" t="s">
        <v>28</v>
      </c>
      <c r="C67" s="19">
        <v>1440</v>
      </c>
      <c r="E67" s="197"/>
      <c r="F67" s="25" t="s">
        <v>28</v>
      </c>
      <c r="G67" s="19">
        <v>1440</v>
      </c>
      <c r="I67" s="197"/>
      <c r="J67" s="25" t="s">
        <v>28</v>
      </c>
      <c r="K67" s="19">
        <v>1440</v>
      </c>
      <c r="M67" s="197"/>
      <c r="N67" s="25" t="s">
        <v>28</v>
      </c>
      <c r="O67" s="19">
        <v>1440</v>
      </c>
    </row>
    <row r="68" spans="1:15" x14ac:dyDescent="0.45">
      <c r="A68" s="197"/>
      <c r="B68" s="25" t="s">
        <v>68</v>
      </c>
      <c r="C68" s="19">
        <v>3</v>
      </c>
      <c r="E68" s="197"/>
      <c r="F68" s="25" t="s">
        <v>68</v>
      </c>
      <c r="G68" s="19">
        <v>3</v>
      </c>
      <c r="I68" s="197"/>
      <c r="J68" s="25" t="s">
        <v>68</v>
      </c>
      <c r="K68" s="19">
        <v>4</v>
      </c>
      <c r="M68" s="197"/>
      <c r="N68" s="25" t="s">
        <v>68</v>
      </c>
      <c r="O68" s="19">
        <v>4</v>
      </c>
    </row>
    <row r="69" spans="1:15" s="121" customFormat="1" x14ac:dyDescent="0.45">
      <c r="A69" s="198"/>
      <c r="B69" s="25" t="s">
        <v>225</v>
      </c>
      <c r="C69" s="19">
        <v>8192</v>
      </c>
      <c r="E69" s="198"/>
      <c r="F69" s="25" t="s">
        <v>210</v>
      </c>
      <c r="G69" s="19">
        <f t="shared" ref="G69:G78" si="0">C69</f>
        <v>8192</v>
      </c>
      <c r="I69" s="198"/>
      <c r="J69" s="25" t="s">
        <v>210</v>
      </c>
      <c r="K69" s="19">
        <f t="shared" ref="K69:K78" si="1">C69</f>
        <v>8192</v>
      </c>
      <c r="M69" s="198"/>
      <c r="N69" s="25" t="s">
        <v>210</v>
      </c>
      <c r="O69" s="19">
        <f t="shared" ref="O69:O78" si="2">C69</f>
        <v>8192</v>
      </c>
    </row>
    <row r="70" spans="1:15" s="121" customFormat="1" x14ac:dyDescent="0.45">
      <c r="A70" s="198"/>
      <c r="B70" s="25" t="s">
        <v>206</v>
      </c>
      <c r="C70" s="19">
        <v>0.3</v>
      </c>
      <c r="E70" s="198"/>
      <c r="F70" s="25" t="s">
        <v>206</v>
      </c>
      <c r="G70" s="19">
        <f t="shared" si="0"/>
        <v>0.3</v>
      </c>
      <c r="I70" s="198"/>
      <c r="J70" s="25" t="s">
        <v>206</v>
      </c>
      <c r="K70" s="19">
        <f t="shared" si="1"/>
        <v>0.3</v>
      </c>
      <c r="M70" s="198"/>
      <c r="N70" s="25" t="s">
        <v>206</v>
      </c>
      <c r="O70" s="19">
        <f t="shared" si="2"/>
        <v>0.3</v>
      </c>
    </row>
    <row r="71" spans="1:15" s="121" customFormat="1" x14ac:dyDescent="0.45">
      <c r="A71" s="198"/>
      <c r="B71" s="25" t="s">
        <v>207</v>
      </c>
      <c r="C71" s="19">
        <v>2</v>
      </c>
      <c r="E71" s="198"/>
      <c r="F71" s="25" t="s">
        <v>207</v>
      </c>
      <c r="G71" s="19">
        <f t="shared" si="0"/>
        <v>2</v>
      </c>
      <c r="I71" s="198"/>
      <c r="J71" s="25" t="s">
        <v>207</v>
      </c>
      <c r="K71" s="19">
        <f t="shared" si="1"/>
        <v>2</v>
      </c>
      <c r="M71" s="198"/>
      <c r="N71" s="25" t="s">
        <v>207</v>
      </c>
      <c r="O71" s="19">
        <f t="shared" si="2"/>
        <v>2</v>
      </c>
    </row>
    <row r="72" spans="1:15" s="121" customFormat="1" x14ac:dyDescent="0.45">
      <c r="A72" s="198"/>
      <c r="B72" s="25" t="s">
        <v>208</v>
      </c>
      <c r="C72" s="19">
        <v>7</v>
      </c>
      <c r="E72" s="198"/>
      <c r="F72" s="25" t="s">
        <v>209</v>
      </c>
      <c r="G72" s="19">
        <f t="shared" si="0"/>
        <v>7</v>
      </c>
      <c r="I72" s="198"/>
      <c r="J72" s="25" t="s">
        <v>209</v>
      </c>
      <c r="K72" s="19">
        <f t="shared" si="1"/>
        <v>7</v>
      </c>
      <c r="M72" s="198"/>
      <c r="N72" s="25" t="s">
        <v>209</v>
      </c>
      <c r="O72" s="19">
        <f t="shared" si="2"/>
        <v>7</v>
      </c>
    </row>
    <row r="73" spans="1:15" s="137" customFormat="1" x14ac:dyDescent="0.45">
      <c r="A73" s="198"/>
      <c r="B73" s="25" t="s">
        <v>235</v>
      </c>
      <c r="C73" s="19">
        <v>3840</v>
      </c>
      <c r="E73" s="198"/>
      <c r="F73" s="25" t="s">
        <v>235</v>
      </c>
      <c r="G73" s="19">
        <f>C73</f>
        <v>3840</v>
      </c>
      <c r="I73" s="198"/>
      <c r="J73" s="25" t="s">
        <v>235</v>
      </c>
      <c r="K73" s="19">
        <f t="shared" si="1"/>
        <v>3840</v>
      </c>
      <c r="M73" s="198"/>
      <c r="N73" s="25" t="s">
        <v>235</v>
      </c>
      <c r="O73" s="19">
        <f t="shared" si="2"/>
        <v>3840</v>
      </c>
    </row>
    <row r="74" spans="1:15" s="137" customFormat="1" x14ac:dyDescent="0.45">
      <c r="A74" s="198"/>
      <c r="B74" s="25" t="s">
        <v>234</v>
      </c>
      <c r="C74" s="19">
        <v>2160</v>
      </c>
      <c r="E74" s="198"/>
      <c r="F74" s="25" t="s">
        <v>234</v>
      </c>
      <c r="G74" s="19">
        <f>C74</f>
        <v>2160</v>
      </c>
      <c r="I74" s="198"/>
      <c r="J74" s="25" t="s">
        <v>234</v>
      </c>
      <c r="K74" s="19">
        <f t="shared" si="1"/>
        <v>2160</v>
      </c>
      <c r="M74" s="198"/>
      <c r="N74" s="25" t="s">
        <v>234</v>
      </c>
      <c r="O74" s="19">
        <f t="shared" si="2"/>
        <v>2160</v>
      </c>
    </row>
    <row r="75" spans="1:15" s="184" customFormat="1" x14ac:dyDescent="0.45">
      <c r="A75" s="198"/>
      <c r="B75" s="25" t="s">
        <v>308</v>
      </c>
      <c r="C75" s="19">
        <v>1</v>
      </c>
      <c r="E75" s="198"/>
      <c r="F75" s="25" t="s">
        <v>308</v>
      </c>
      <c r="G75" s="19">
        <f>C75</f>
        <v>1</v>
      </c>
      <c r="I75" s="198"/>
      <c r="J75" s="25" t="s">
        <v>308</v>
      </c>
      <c r="K75" s="19">
        <f>C75</f>
        <v>1</v>
      </c>
      <c r="M75" s="198"/>
      <c r="N75" s="25" t="s">
        <v>308</v>
      </c>
      <c r="O75" s="19">
        <f>C75</f>
        <v>1</v>
      </c>
    </row>
    <row r="76" spans="1:15" s="184" customFormat="1" ht="16.5" thickBot="1" x14ac:dyDescent="0.5">
      <c r="A76" s="199"/>
      <c r="B76" s="146" t="s">
        <v>309</v>
      </c>
      <c r="C76" s="20">
        <v>3</v>
      </c>
      <c r="E76" s="199"/>
      <c r="F76" s="146" t="s">
        <v>310</v>
      </c>
      <c r="G76" s="20">
        <v>3</v>
      </c>
      <c r="I76" s="199"/>
      <c r="J76" s="146" t="s">
        <v>310</v>
      </c>
      <c r="K76" s="20">
        <v>3</v>
      </c>
      <c r="M76" s="199"/>
      <c r="N76" s="146" t="s">
        <v>310</v>
      </c>
      <c r="O76" s="20">
        <v>3</v>
      </c>
    </row>
    <row r="77" spans="1:15" s="137" customFormat="1" x14ac:dyDescent="0.45">
      <c r="A77" s="209" t="s">
        <v>243</v>
      </c>
      <c r="B77" s="147" t="s">
        <v>200</v>
      </c>
      <c r="C77" s="29">
        <v>0</v>
      </c>
      <c r="E77" s="209" t="s">
        <v>243</v>
      </c>
      <c r="F77" s="147" t="s">
        <v>200</v>
      </c>
      <c r="G77" s="81">
        <f>C77</f>
        <v>0</v>
      </c>
      <c r="I77" s="209" t="s">
        <v>243</v>
      </c>
      <c r="J77" s="147" t="s">
        <v>200</v>
      </c>
      <c r="K77" s="81">
        <f t="shared" si="1"/>
        <v>0</v>
      </c>
      <c r="M77" s="209" t="s">
        <v>243</v>
      </c>
      <c r="N77" s="147" t="s">
        <v>200</v>
      </c>
      <c r="O77" s="81">
        <f t="shared" si="2"/>
        <v>0</v>
      </c>
    </row>
    <row r="78" spans="1:15" s="137" customFormat="1" ht="16.5" thickBot="1" x14ac:dyDescent="0.5">
      <c r="A78" s="210"/>
      <c r="B78" s="139" t="s">
        <v>231</v>
      </c>
      <c r="C78" s="140">
        <v>2</v>
      </c>
      <c r="E78" s="210"/>
      <c r="F78" s="139" t="s">
        <v>231</v>
      </c>
      <c r="G78" s="20">
        <f t="shared" si="0"/>
        <v>2</v>
      </c>
      <c r="I78" s="210"/>
      <c r="J78" s="139" t="s">
        <v>231</v>
      </c>
      <c r="K78" s="20">
        <f t="shared" si="1"/>
        <v>2</v>
      </c>
      <c r="M78" s="210"/>
      <c r="N78" s="139" t="s">
        <v>231</v>
      </c>
      <c r="O78" s="20">
        <f t="shared" si="2"/>
        <v>2</v>
      </c>
    </row>
    <row r="79" spans="1:15" ht="16.25" customHeight="1" x14ac:dyDescent="0.45">
      <c r="A79" s="204" t="s">
        <v>35</v>
      </c>
      <c r="B79" s="26" t="s">
        <v>5</v>
      </c>
      <c r="C79" s="21">
        <v>0</v>
      </c>
      <c r="E79" s="213" t="s">
        <v>213</v>
      </c>
      <c r="F79" s="145" t="s">
        <v>5</v>
      </c>
      <c r="G79" s="81">
        <v>4</v>
      </c>
      <c r="I79" s="213" t="s">
        <v>35</v>
      </c>
      <c r="J79" s="145" t="s">
        <v>5</v>
      </c>
      <c r="K79" s="81">
        <v>0</v>
      </c>
      <c r="M79" s="213" t="s">
        <v>35</v>
      </c>
      <c r="N79" s="145" t="s">
        <v>5</v>
      </c>
      <c r="O79" s="81">
        <v>0</v>
      </c>
    </row>
    <row r="80" spans="1:15" x14ac:dyDescent="0.45">
      <c r="A80" s="205"/>
      <c r="B80" s="27" t="s">
        <v>29</v>
      </c>
      <c r="C80" s="19">
        <v>1920</v>
      </c>
      <c r="E80" s="205"/>
      <c r="F80" s="27" t="s">
        <v>27</v>
      </c>
      <c r="G80" s="19">
        <v>1920</v>
      </c>
      <c r="I80" s="205"/>
      <c r="J80" s="27" t="s">
        <v>27</v>
      </c>
      <c r="K80" s="19">
        <v>1920</v>
      </c>
      <c r="M80" s="205"/>
      <c r="N80" s="27" t="s">
        <v>27</v>
      </c>
      <c r="O80" s="19">
        <v>1920</v>
      </c>
    </row>
    <row r="81" spans="1:15" x14ac:dyDescent="0.45">
      <c r="A81" s="205"/>
      <c r="B81" s="27" t="s">
        <v>67</v>
      </c>
      <c r="C81" s="19">
        <v>1080</v>
      </c>
      <c r="E81" s="205"/>
      <c r="F81" s="27" t="s">
        <v>28</v>
      </c>
      <c r="G81" s="19">
        <v>1080</v>
      </c>
      <c r="I81" s="205"/>
      <c r="J81" s="27" t="s">
        <v>28</v>
      </c>
      <c r="K81" s="19">
        <v>1080</v>
      </c>
      <c r="M81" s="205"/>
      <c r="N81" s="27" t="s">
        <v>28</v>
      </c>
      <c r="O81" s="19">
        <v>1080</v>
      </c>
    </row>
    <row r="82" spans="1:15" x14ac:dyDescent="0.45">
      <c r="A82" s="205"/>
      <c r="B82" s="27" t="s">
        <v>68</v>
      </c>
      <c r="C82" s="19">
        <v>2</v>
      </c>
      <c r="E82" s="205"/>
      <c r="F82" s="27" t="s">
        <v>68</v>
      </c>
      <c r="G82" s="19">
        <v>3</v>
      </c>
      <c r="I82" s="205"/>
      <c r="J82" s="27" t="s">
        <v>68</v>
      </c>
      <c r="K82" s="19">
        <v>4</v>
      </c>
      <c r="M82" s="205"/>
      <c r="N82" s="27" t="s">
        <v>68</v>
      </c>
      <c r="O82" s="19">
        <v>4</v>
      </c>
    </row>
    <row r="83" spans="1:15" s="121" customFormat="1" x14ac:dyDescent="0.45">
      <c r="A83" s="198"/>
      <c r="B83" s="27" t="s">
        <v>212</v>
      </c>
      <c r="C83" s="18">
        <v>1.125</v>
      </c>
      <c r="E83" s="198"/>
      <c r="F83" s="27" t="s">
        <v>212</v>
      </c>
      <c r="G83" s="19">
        <f t="shared" ref="G83:G90" si="3">C83</f>
        <v>1.125</v>
      </c>
      <c r="I83" s="198"/>
      <c r="J83" s="27" t="s">
        <v>212</v>
      </c>
      <c r="K83" s="19">
        <f t="shared" ref="K83:K90" si="4">C83</f>
        <v>1.125</v>
      </c>
      <c r="M83" s="198"/>
      <c r="N83" s="27" t="s">
        <v>212</v>
      </c>
      <c r="O83" s="19">
        <f t="shared" ref="O83:O90" si="5">C83</f>
        <v>1.125</v>
      </c>
    </row>
    <row r="84" spans="1:15" s="121" customFormat="1" x14ac:dyDescent="0.45">
      <c r="A84" s="198"/>
      <c r="B84" s="27" t="s">
        <v>215</v>
      </c>
      <c r="C84" s="18">
        <v>3</v>
      </c>
      <c r="E84" s="198"/>
      <c r="F84" s="27" t="s">
        <v>215</v>
      </c>
      <c r="G84" s="19">
        <v>1</v>
      </c>
      <c r="I84" s="198"/>
      <c r="J84" s="27" t="s">
        <v>215</v>
      </c>
      <c r="K84" s="19">
        <f t="shared" si="4"/>
        <v>3</v>
      </c>
      <c r="M84" s="198"/>
      <c r="N84" s="27" t="s">
        <v>215</v>
      </c>
      <c r="O84" s="19">
        <f t="shared" si="5"/>
        <v>3</v>
      </c>
    </row>
    <row r="85" spans="1:15" s="137" customFormat="1" x14ac:dyDescent="0.45">
      <c r="A85" s="198"/>
      <c r="B85" s="27" t="s">
        <v>240</v>
      </c>
      <c r="C85" s="18">
        <v>3840</v>
      </c>
      <c r="E85" s="198"/>
      <c r="F85" s="27" t="s">
        <v>240</v>
      </c>
      <c r="G85" s="19">
        <v>1920</v>
      </c>
      <c r="I85" s="198"/>
      <c r="J85" s="27" t="s">
        <v>240</v>
      </c>
      <c r="K85" s="19">
        <f>C85</f>
        <v>3840</v>
      </c>
      <c r="M85" s="198"/>
      <c r="N85" s="27" t="s">
        <v>240</v>
      </c>
      <c r="O85" s="19">
        <f>C85</f>
        <v>3840</v>
      </c>
    </row>
    <row r="86" spans="1:15" s="137" customFormat="1" x14ac:dyDescent="0.45">
      <c r="A86" s="198"/>
      <c r="B86" s="27" t="s">
        <v>241</v>
      </c>
      <c r="C86" s="18">
        <v>2160</v>
      </c>
      <c r="E86" s="198"/>
      <c r="F86" s="27" t="s">
        <v>241</v>
      </c>
      <c r="G86" s="19">
        <v>1080</v>
      </c>
      <c r="I86" s="198"/>
      <c r="J86" s="27" t="s">
        <v>241</v>
      </c>
      <c r="K86" s="19">
        <f>C86</f>
        <v>2160</v>
      </c>
      <c r="M86" s="198"/>
      <c r="N86" s="27" t="s">
        <v>241</v>
      </c>
      <c r="O86" s="19">
        <f>C86</f>
        <v>2160</v>
      </c>
    </row>
    <row r="87" spans="1:15" s="121" customFormat="1" x14ac:dyDescent="0.45">
      <c r="A87" s="198"/>
      <c r="B87" s="27" t="s">
        <v>217</v>
      </c>
      <c r="C87" s="18">
        <v>1</v>
      </c>
      <c r="E87" s="198"/>
      <c r="F87" s="27" t="s">
        <v>218</v>
      </c>
      <c r="G87" s="19">
        <f t="shared" si="3"/>
        <v>1</v>
      </c>
      <c r="I87" s="198"/>
      <c r="J87" s="27" t="s">
        <v>218</v>
      </c>
      <c r="K87" s="19">
        <f t="shared" si="4"/>
        <v>1</v>
      </c>
      <c r="M87" s="198"/>
      <c r="N87" s="27" t="s">
        <v>218</v>
      </c>
      <c r="O87" s="19">
        <f t="shared" si="5"/>
        <v>1</v>
      </c>
    </row>
    <row r="88" spans="1:15" s="121" customFormat="1" x14ac:dyDescent="0.45">
      <c r="A88" s="198"/>
      <c r="B88" s="27" t="s">
        <v>225</v>
      </c>
      <c r="C88" s="19">
        <v>8192</v>
      </c>
      <c r="E88" s="198"/>
      <c r="F88" s="27" t="s">
        <v>211</v>
      </c>
      <c r="G88" s="19">
        <f t="shared" si="3"/>
        <v>8192</v>
      </c>
      <c r="I88" s="198"/>
      <c r="J88" s="27" t="s">
        <v>211</v>
      </c>
      <c r="K88" s="19">
        <f t="shared" si="4"/>
        <v>8192</v>
      </c>
      <c r="M88" s="198"/>
      <c r="N88" s="27" t="s">
        <v>211</v>
      </c>
      <c r="O88" s="19">
        <f t="shared" si="5"/>
        <v>8192</v>
      </c>
    </row>
    <row r="89" spans="1:15" s="121" customFormat="1" x14ac:dyDescent="0.45">
      <c r="A89" s="198"/>
      <c r="B89" s="27" t="s">
        <v>206</v>
      </c>
      <c r="C89" s="19">
        <v>0.3</v>
      </c>
      <c r="E89" s="198"/>
      <c r="F89" s="27" t="s">
        <v>206</v>
      </c>
      <c r="G89" s="19">
        <f t="shared" si="3"/>
        <v>0.3</v>
      </c>
      <c r="I89" s="198"/>
      <c r="J89" s="27" t="s">
        <v>206</v>
      </c>
      <c r="K89" s="19">
        <f t="shared" si="4"/>
        <v>0.3</v>
      </c>
      <c r="M89" s="198"/>
      <c r="N89" s="27" t="s">
        <v>206</v>
      </c>
      <c r="O89" s="19">
        <f t="shared" si="5"/>
        <v>0.3</v>
      </c>
    </row>
    <row r="90" spans="1:15" s="121" customFormat="1" ht="16.5" thickBot="1" x14ac:dyDescent="0.5">
      <c r="A90" s="206"/>
      <c r="B90" s="40" t="s">
        <v>208</v>
      </c>
      <c r="C90" s="37">
        <v>7</v>
      </c>
      <c r="E90" s="206"/>
      <c r="F90" s="40" t="s">
        <v>214</v>
      </c>
      <c r="G90" s="37">
        <f t="shared" si="3"/>
        <v>7</v>
      </c>
      <c r="I90" s="206"/>
      <c r="J90" s="40" t="s">
        <v>214</v>
      </c>
      <c r="K90" s="37">
        <f t="shared" si="4"/>
        <v>7</v>
      </c>
      <c r="M90" s="206"/>
      <c r="N90" s="40" t="s">
        <v>214</v>
      </c>
      <c r="O90" s="37">
        <f t="shared" si="5"/>
        <v>7</v>
      </c>
    </row>
    <row r="91" spans="1:15" ht="16.25" customHeight="1" x14ac:dyDescent="0.45">
      <c r="A91" s="204" t="s">
        <v>34</v>
      </c>
      <c r="B91" s="26" t="s">
        <v>5</v>
      </c>
      <c r="C91" s="21">
        <v>0</v>
      </c>
      <c r="E91" s="204" t="s">
        <v>216</v>
      </c>
      <c r="F91" s="26" t="s">
        <v>5</v>
      </c>
      <c r="G91" s="21">
        <v>0</v>
      </c>
      <c r="I91" s="204" t="s">
        <v>216</v>
      </c>
      <c r="J91" s="26" t="s">
        <v>5</v>
      </c>
      <c r="K91" s="21">
        <v>0</v>
      </c>
      <c r="M91" s="204" t="s">
        <v>216</v>
      </c>
      <c r="N91" s="26" t="s">
        <v>5</v>
      </c>
      <c r="O91" s="21">
        <v>0</v>
      </c>
    </row>
    <row r="92" spans="1:15" x14ac:dyDescent="0.45">
      <c r="A92" s="205"/>
      <c r="B92" s="27" t="s">
        <v>27</v>
      </c>
      <c r="C92" s="19">
        <v>2560</v>
      </c>
      <c r="E92" s="205"/>
      <c r="F92" s="27" t="s">
        <v>27</v>
      </c>
      <c r="G92" s="19">
        <v>2560</v>
      </c>
      <c r="I92" s="205"/>
      <c r="J92" s="27" t="s">
        <v>27</v>
      </c>
      <c r="K92" s="19">
        <v>2560</v>
      </c>
      <c r="M92" s="205"/>
      <c r="N92" s="27" t="s">
        <v>27</v>
      </c>
      <c r="O92" s="19">
        <v>2560</v>
      </c>
    </row>
    <row r="93" spans="1:15" x14ac:dyDescent="0.45">
      <c r="A93" s="205"/>
      <c r="B93" s="27" t="s">
        <v>28</v>
      </c>
      <c r="C93" s="19">
        <v>1440</v>
      </c>
      <c r="E93" s="205"/>
      <c r="F93" s="27" t="s">
        <v>28</v>
      </c>
      <c r="G93" s="19">
        <v>1440</v>
      </c>
      <c r="I93" s="205"/>
      <c r="J93" s="27" t="s">
        <v>28</v>
      </c>
      <c r="K93" s="19">
        <v>1440</v>
      </c>
      <c r="M93" s="205"/>
      <c r="N93" s="27" t="s">
        <v>28</v>
      </c>
      <c r="O93" s="19">
        <v>1440</v>
      </c>
    </row>
    <row r="94" spans="1:15" x14ac:dyDescent="0.45">
      <c r="A94" s="205"/>
      <c r="B94" s="27" t="s">
        <v>68</v>
      </c>
      <c r="C94" s="19">
        <v>2</v>
      </c>
      <c r="E94" s="205"/>
      <c r="F94" s="27" t="s">
        <v>68</v>
      </c>
      <c r="G94" s="19">
        <v>2</v>
      </c>
      <c r="I94" s="205"/>
      <c r="J94" s="27" t="s">
        <v>68</v>
      </c>
      <c r="K94" s="19">
        <v>2</v>
      </c>
      <c r="M94" s="205"/>
      <c r="N94" s="27" t="s">
        <v>68</v>
      </c>
      <c r="O94" s="19">
        <v>2</v>
      </c>
    </row>
    <row r="95" spans="1:15" s="121" customFormat="1" x14ac:dyDescent="0.45">
      <c r="A95" s="198"/>
      <c r="B95" s="27" t="s">
        <v>212</v>
      </c>
      <c r="C95" s="18">
        <v>1.5</v>
      </c>
      <c r="E95" s="198"/>
      <c r="F95" s="27" t="s">
        <v>212</v>
      </c>
      <c r="G95" s="19">
        <f t="shared" ref="G95:G102" si="6">C95</f>
        <v>1.5</v>
      </c>
      <c r="I95" s="198"/>
      <c r="J95" s="27" t="s">
        <v>212</v>
      </c>
      <c r="K95" s="19">
        <f t="shared" ref="K95:K102" si="7">C95</f>
        <v>1.5</v>
      </c>
      <c r="M95" s="198"/>
      <c r="N95" s="27" t="s">
        <v>212</v>
      </c>
      <c r="O95" s="19">
        <f t="shared" ref="O95:O102" si="8">C95</f>
        <v>1.5</v>
      </c>
    </row>
    <row r="96" spans="1:15" s="121" customFormat="1" x14ac:dyDescent="0.45">
      <c r="A96" s="198"/>
      <c r="B96" s="27" t="s">
        <v>215</v>
      </c>
      <c r="C96" s="18">
        <v>3</v>
      </c>
      <c r="E96" s="198"/>
      <c r="F96" s="27" t="s">
        <v>215</v>
      </c>
      <c r="G96" s="19">
        <f t="shared" si="6"/>
        <v>3</v>
      </c>
      <c r="I96" s="198"/>
      <c r="J96" s="27" t="s">
        <v>215</v>
      </c>
      <c r="K96" s="19">
        <f t="shared" si="7"/>
        <v>3</v>
      </c>
      <c r="M96" s="198"/>
      <c r="N96" s="27" t="s">
        <v>215</v>
      </c>
      <c r="O96" s="19">
        <f t="shared" si="8"/>
        <v>3</v>
      </c>
    </row>
    <row r="97" spans="1:15" s="137" customFormat="1" x14ac:dyDescent="0.45">
      <c r="A97" s="198"/>
      <c r="B97" s="27" t="s">
        <v>240</v>
      </c>
      <c r="C97" s="18">
        <v>2560</v>
      </c>
      <c r="E97" s="198"/>
      <c r="F97" s="27" t="s">
        <v>240</v>
      </c>
      <c r="G97" s="19">
        <f>C97</f>
        <v>2560</v>
      </c>
      <c r="I97" s="198"/>
      <c r="J97" s="27" t="s">
        <v>240</v>
      </c>
      <c r="K97" s="19">
        <f>C97</f>
        <v>2560</v>
      </c>
      <c r="M97" s="198"/>
      <c r="N97" s="27" t="s">
        <v>240</v>
      </c>
      <c r="O97" s="19">
        <f>C97</f>
        <v>2560</v>
      </c>
    </row>
    <row r="98" spans="1:15" s="137" customFormat="1" x14ac:dyDescent="0.45">
      <c r="A98" s="198"/>
      <c r="B98" s="27" t="s">
        <v>241</v>
      </c>
      <c r="C98" s="18">
        <v>1440</v>
      </c>
      <c r="E98" s="198"/>
      <c r="F98" s="27" t="s">
        <v>241</v>
      </c>
      <c r="G98" s="19">
        <f>C98</f>
        <v>1440</v>
      </c>
      <c r="I98" s="198"/>
      <c r="J98" s="27" t="s">
        <v>241</v>
      </c>
      <c r="K98" s="19">
        <f>C98</f>
        <v>1440</v>
      </c>
      <c r="M98" s="198"/>
      <c r="N98" s="27" t="s">
        <v>241</v>
      </c>
      <c r="O98" s="19">
        <f>C98</f>
        <v>1440</v>
      </c>
    </row>
    <row r="99" spans="1:15" s="121" customFormat="1" x14ac:dyDescent="0.45">
      <c r="A99" s="198"/>
      <c r="B99" s="27" t="s">
        <v>217</v>
      </c>
      <c r="C99" s="18">
        <v>1</v>
      </c>
      <c r="E99" s="198"/>
      <c r="F99" s="27" t="s">
        <v>218</v>
      </c>
      <c r="G99" s="19">
        <f t="shared" si="6"/>
        <v>1</v>
      </c>
      <c r="I99" s="198"/>
      <c r="J99" s="27" t="s">
        <v>218</v>
      </c>
      <c r="K99" s="19">
        <f t="shared" si="7"/>
        <v>1</v>
      </c>
      <c r="M99" s="198"/>
      <c r="N99" s="27" t="s">
        <v>218</v>
      </c>
      <c r="O99" s="19">
        <f t="shared" si="8"/>
        <v>1</v>
      </c>
    </row>
    <row r="100" spans="1:15" s="121" customFormat="1" x14ac:dyDescent="0.45">
      <c r="A100" s="198"/>
      <c r="B100" s="27" t="s">
        <v>225</v>
      </c>
      <c r="C100" s="19">
        <v>8192</v>
      </c>
      <c r="E100" s="198"/>
      <c r="F100" s="27" t="s">
        <v>211</v>
      </c>
      <c r="G100" s="19">
        <f t="shared" si="6"/>
        <v>8192</v>
      </c>
      <c r="I100" s="198"/>
      <c r="J100" s="27" t="s">
        <v>211</v>
      </c>
      <c r="K100" s="19">
        <f t="shared" si="7"/>
        <v>8192</v>
      </c>
      <c r="M100" s="198"/>
      <c r="N100" s="27" t="s">
        <v>211</v>
      </c>
      <c r="O100" s="19">
        <f t="shared" si="8"/>
        <v>8192</v>
      </c>
    </row>
    <row r="101" spans="1:15" s="121" customFormat="1" x14ac:dyDescent="0.45">
      <c r="A101" s="198"/>
      <c r="B101" s="27" t="s">
        <v>206</v>
      </c>
      <c r="C101" s="19">
        <v>0.3</v>
      </c>
      <c r="E101" s="198"/>
      <c r="F101" s="27" t="s">
        <v>206</v>
      </c>
      <c r="G101" s="19">
        <f t="shared" si="6"/>
        <v>0.3</v>
      </c>
      <c r="I101" s="198"/>
      <c r="J101" s="27" t="s">
        <v>206</v>
      </c>
      <c r="K101" s="19">
        <f t="shared" si="7"/>
        <v>0.3</v>
      </c>
      <c r="M101" s="198"/>
      <c r="N101" s="27" t="s">
        <v>206</v>
      </c>
      <c r="O101" s="19">
        <f t="shared" si="8"/>
        <v>0.3</v>
      </c>
    </row>
    <row r="102" spans="1:15" s="121" customFormat="1" ht="16.5" thickBot="1" x14ac:dyDescent="0.5">
      <c r="A102" s="206"/>
      <c r="B102" s="40" t="s">
        <v>208</v>
      </c>
      <c r="C102" s="37">
        <v>7</v>
      </c>
      <c r="E102" s="199"/>
      <c r="F102" s="28" t="s">
        <v>214</v>
      </c>
      <c r="G102" s="20">
        <f t="shared" si="6"/>
        <v>7</v>
      </c>
      <c r="I102" s="199"/>
      <c r="J102" s="28" t="s">
        <v>214</v>
      </c>
      <c r="K102" s="20">
        <f t="shared" si="7"/>
        <v>7</v>
      </c>
      <c r="M102" s="199"/>
      <c r="N102" s="28" t="s">
        <v>214</v>
      </c>
      <c r="O102" s="20">
        <f t="shared" si="8"/>
        <v>7</v>
      </c>
    </row>
    <row r="103" spans="1:15" ht="16.25" customHeight="1" x14ac:dyDescent="0.45">
      <c r="A103" s="204" t="s">
        <v>165</v>
      </c>
      <c r="B103" s="26" t="s">
        <v>5</v>
      </c>
      <c r="C103" s="21">
        <v>0</v>
      </c>
      <c r="E103" s="204" t="s">
        <v>165</v>
      </c>
      <c r="F103" s="26" t="s">
        <v>5</v>
      </c>
      <c r="G103" s="21">
        <v>0</v>
      </c>
      <c r="I103" s="204" t="s">
        <v>165</v>
      </c>
      <c r="J103" s="26" t="s">
        <v>5</v>
      </c>
      <c r="K103" s="21">
        <v>0</v>
      </c>
      <c r="M103" s="204" t="s">
        <v>165</v>
      </c>
      <c r="N103" s="26" t="s">
        <v>5</v>
      </c>
      <c r="O103" s="21">
        <v>0</v>
      </c>
    </row>
    <row r="104" spans="1:15" x14ac:dyDescent="0.45">
      <c r="A104" s="205"/>
      <c r="B104" s="27" t="s">
        <v>27</v>
      </c>
      <c r="C104" s="19">
        <v>960</v>
      </c>
      <c r="E104" s="205"/>
      <c r="F104" s="27" t="s">
        <v>27</v>
      </c>
      <c r="G104" s="19">
        <v>960</v>
      </c>
      <c r="I104" s="205"/>
      <c r="J104" s="27" t="s">
        <v>27</v>
      </c>
      <c r="K104" s="19">
        <v>960</v>
      </c>
      <c r="M104" s="205"/>
      <c r="N104" s="27" t="s">
        <v>27</v>
      </c>
      <c r="O104" s="19">
        <v>960</v>
      </c>
    </row>
    <row r="105" spans="1:15" x14ac:dyDescent="0.45">
      <c r="A105" s="205"/>
      <c r="B105" s="27" t="s">
        <v>28</v>
      </c>
      <c r="C105" s="19">
        <v>576</v>
      </c>
      <c r="E105" s="205"/>
      <c r="F105" s="27" t="s">
        <v>28</v>
      </c>
      <c r="G105" s="19">
        <v>576</v>
      </c>
      <c r="I105" s="205"/>
      <c r="J105" s="27" t="s">
        <v>28</v>
      </c>
      <c r="K105" s="19">
        <v>576</v>
      </c>
      <c r="M105" s="205"/>
      <c r="N105" s="27" t="s">
        <v>28</v>
      </c>
      <c r="O105" s="19">
        <v>576</v>
      </c>
    </row>
    <row r="106" spans="1:15" x14ac:dyDescent="0.45">
      <c r="A106" s="205"/>
      <c r="B106" s="27" t="s">
        <v>68</v>
      </c>
      <c r="C106" s="19">
        <v>2</v>
      </c>
      <c r="E106" s="205"/>
      <c r="F106" s="27" t="s">
        <v>68</v>
      </c>
      <c r="G106" s="19">
        <v>4</v>
      </c>
      <c r="I106" s="205"/>
      <c r="J106" s="27" t="s">
        <v>68</v>
      </c>
      <c r="K106" s="19">
        <v>4</v>
      </c>
      <c r="M106" s="205"/>
      <c r="N106" s="27" t="s">
        <v>68</v>
      </c>
      <c r="O106" s="19">
        <v>4</v>
      </c>
    </row>
    <row r="107" spans="1:15" s="121" customFormat="1" x14ac:dyDescent="0.45">
      <c r="A107" s="198"/>
      <c r="B107" s="27" t="s">
        <v>212</v>
      </c>
      <c r="C107" s="18">
        <v>1.125</v>
      </c>
      <c r="E107" s="198"/>
      <c r="F107" s="27" t="s">
        <v>212</v>
      </c>
      <c r="G107" s="18">
        <f t="shared" ref="G107:G114" si="9">C107</f>
        <v>1.125</v>
      </c>
      <c r="I107" s="198"/>
      <c r="J107" s="27" t="s">
        <v>212</v>
      </c>
      <c r="K107" s="18">
        <f t="shared" ref="K107:K114" si="10">G107</f>
        <v>1.125</v>
      </c>
      <c r="M107" s="198"/>
      <c r="N107" s="27" t="s">
        <v>212</v>
      </c>
      <c r="O107" s="18">
        <f t="shared" ref="O107:O114" si="11">K107</f>
        <v>1.125</v>
      </c>
    </row>
    <row r="108" spans="1:15" s="121" customFormat="1" x14ac:dyDescent="0.45">
      <c r="A108" s="198"/>
      <c r="B108" s="27" t="s">
        <v>215</v>
      </c>
      <c r="C108" s="18">
        <v>3</v>
      </c>
      <c r="E108" s="198"/>
      <c r="F108" s="27" t="s">
        <v>215</v>
      </c>
      <c r="G108" s="18">
        <f t="shared" si="9"/>
        <v>3</v>
      </c>
      <c r="I108" s="198"/>
      <c r="J108" s="27" t="s">
        <v>215</v>
      </c>
      <c r="K108" s="18">
        <f t="shared" si="10"/>
        <v>3</v>
      </c>
      <c r="M108" s="198"/>
      <c r="N108" s="27" t="s">
        <v>215</v>
      </c>
      <c r="O108" s="18">
        <f t="shared" si="11"/>
        <v>3</v>
      </c>
    </row>
    <row r="109" spans="1:15" s="137" customFormat="1" x14ac:dyDescent="0.45">
      <c r="A109" s="198"/>
      <c r="B109" s="27" t="s">
        <v>240</v>
      </c>
      <c r="C109" s="18">
        <v>960</v>
      </c>
      <c r="E109" s="198"/>
      <c r="F109" s="27" t="s">
        <v>240</v>
      </c>
      <c r="G109" s="19">
        <f>C109</f>
        <v>960</v>
      </c>
      <c r="I109" s="198"/>
      <c r="J109" s="27" t="s">
        <v>240</v>
      </c>
      <c r="K109" s="19">
        <f>C109</f>
        <v>960</v>
      </c>
      <c r="M109" s="198"/>
      <c r="N109" s="27" t="s">
        <v>240</v>
      </c>
      <c r="O109" s="19">
        <f>C109</f>
        <v>960</v>
      </c>
    </row>
    <row r="110" spans="1:15" s="137" customFormat="1" x14ac:dyDescent="0.45">
      <c r="A110" s="198"/>
      <c r="B110" s="27" t="s">
        <v>241</v>
      </c>
      <c r="C110" s="18">
        <v>576</v>
      </c>
      <c r="E110" s="198"/>
      <c r="F110" s="27" t="s">
        <v>241</v>
      </c>
      <c r="G110" s="19">
        <f>C110</f>
        <v>576</v>
      </c>
      <c r="I110" s="198"/>
      <c r="J110" s="27" t="s">
        <v>241</v>
      </c>
      <c r="K110" s="19">
        <f>C110</f>
        <v>576</v>
      </c>
      <c r="M110" s="198"/>
      <c r="N110" s="27" t="s">
        <v>241</v>
      </c>
      <c r="O110" s="19">
        <f>C110</f>
        <v>576</v>
      </c>
    </row>
    <row r="111" spans="1:15" s="121" customFormat="1" x14ac:dyDescent="0.45">
      <c r="A111" s="198"/>
      <c r="B111" s="27" t="s">
        <v>217</v>
      </c>
      <c r="C111" s="18">
        <v>1</v>
      </c>
      <c r="E111" s="198"/>
      <c r="F111" s="27" t="s">
        <v>217</v>
      </c>
      <c r="G111" s="18">
        <f t="shared" si="9"/>
        <v>1</v>
      </c>
      <c r="I111" s="198"/>
      <c r="J111" s="27" t="s">
        <v>217</v>
      </c>
      <c r="K111" s="18">
        <f t="shared" si="10"/>
        <v>1</v>
      </c>
      <c r="M111" s="198"/>
      <c r="N111" s="27" t="s">
        <v>217</v>
      </c>
      <c r="O111" s="18">
        <f t="shared" si="11"/>
        <v>1</v>
      </c>
    </row>
    <row r="112" spans="1:15" s="121" customFormat="1" x14ac:dyDescent="0.45">
      <c r="A112" s="198"/>
      <c r="B112" s="27" t="s">
        <v>225</v>
      </c>
      <c r="C112" s="19">
        <v>4096</v>
      </c>
      <c r="E112" s="198"/>
      <c r="F112" s="27" t="s">
        <v>211</v>
      </c>
      <c r="G112" s="19">
        <f t="shared" si="9"/>
        <v>4096</v>
      </c>
      <c r="I112" s="198"/>
      <c r="J112" s="27" t="s">
        <v>211</v>
      </c>
      <c r="K112" s="19">
        <f t="shared" si="10"/>
        <v>4096</v>
      </c>
      <c r="M112" s="198"/>
      <c r="N112" s="27" t="s">
        <v>211</v>
      </c>
      <c r="O112" s="19">
        <f t="shared" si="11"/>
        <v>4096</v>
      </c>
    </row>
    <row r="113" spans="1:15" s="121" customFormat="1" x14ac:dyDescent="0.45">
      <c r="A113" s="198"/>
      <c r="B113" s="27" t="s">
        <v>206</v>
      </c>
      <c r="C113" s="19">
        <v>0.3</v>
      </c>
      <c r="E113" s="198"/>
      <c r="F113" s="27" t="s">
        <v>206</v>
      </c>
      <c r="G113" s="19">
        <f t="shared" si="9"/>
        <v>0.3</v>
      </c>
      <c r="I113" s="198"/>
      <c r="J113" s="27" t="s">
        <v>206</v>
      </c>
      <c r="K113" s="19">
        <f t="shared" si="10"/>
        <v>0.3</v>
      </c>
      <c r="M113" s="198"/>
      <c r="N113" s="27" t="s">
        <v>206</v>
      </c>
      <c r="O113" s="19">
        <f t="shared" si="11"/>
        <v>0.3</v>
      </c>
    </row>
    <row r="114" spans="1:15" s="121" customFormat="1" ht="16.5" thickBot="1" x14ac:dyDescent="0.5">
      <c r="A114" s="206"/>
      <c r="B114" s="40" t="s">
        <v>208</v>
      </c>
      <c r="C114" s="37">
        <v>7</v>
      </c>
      <c r="E114" s="206"/>
      <c r="F114" s="40" t="s">
        <v>208</v>
      </c>
      <c r="G114" s="37">
        <f t="shared" si="9"/>
        <v>7</v>
      </c>
      <c r="I114" s="206"/>
      <c r="J114" s="40" t="s">
        <v>208</v>
      </c>
      <c r="K114" s="37">
        <f t="shared" si="10"/>
        <v>7</v>
      </c>
      <c r="M114" s="206"/>
      <c r="N114" s="40" t="s">
        <v>208</v>
      </c>
      <c r="O114" s="37">
        <f t="shared" si="11"/>
        <v>7</v>
      </c>
    </row>
    <row r="115" spans="1:15" x14ac:dyDescent="0.45">
      <c r="A115" s="204" t="s">
        <v>320</v>
      </c>
      <c r="B115" s="26" t="s">
        <v>161</v>
      </c>
      <c r="C115" s="21">
        <v>0</v>
      </c>
      <c r="E115" s="204" t="s">
        <v>321</v>
      </c>
      <c r="F115" s="26" t="s">
        <v>161</v>
      </c>
      <c r="G115" s="21">
        <v>4</v>
      </c>
      <c r="I115" s="204" t="s">
        <v>322</v>
      </c>
      <c r="J115" s="26" t="s">
        <v>161</v>
      </c>
      <c r="K115" s="21">
        <v>0</v>
      </c>
      <c r="M115" s="204" t="s">
        <v>320</v>
      </c>
      <c r="N115" s="26" t="s">
        <v>161</v>
      </c>
      <c r="O115" s="21">
        <v>0</v>
      </c>
    </row>
    <row r="116" spans="1:15" x14ac:dyDescent="0.45">
      <c r="A116" s="198"/>
      <c r="B116" s="27" t="s">
        <v>162</v>
      </c>
      <c r="C116" s="19">
        <v>1920</v>
      </c>
      <c r="E116" s="198"/>
      <c r="F116" s="27" t="s">
        <v>162</v>
      </c>
      <c r="G116" s="19">
        <v>1920</v>
      </c>
      <c r="I116" s="198"/>
      <c r="J116" s="27" t="s">
        <v>162</v>
      </c>
      <c r="K116" s="19">
        <v>1920</v>
      </c>
      <c r="M116" s="198"/>
      <c r="N116" s="27" t="s">
        <v>162</v>
      </c>
      <c r="O116" s="19">
        <v>1920</v>
      </c>
    </row>
    <row r="117" spans="1:15" x14ac:dyDescent="0.45">
      <c r="A117" s="198"/>
      <c r="B117" s="27" t="s">
        <v>163</v>
      </c>
      <c r="C117" s="19">
        <v>1080</v>
      </c>
      <c r="E117" s="198"/>
      <c r="F117" s="27" t="s">
        <v>163</v>
      </c>
      <c r="G117" s="19">
        <v>1080</v>
      </c>
      <c r="I117" s="198"/>
      <c r="J117" s="27" t="s">
        <v>163</v>
      </c>
      <c r="K117" s="19">
        <v>1080</v>
      </c>
      <c r="M117" s="198"/>
      <c r="N117" s="27" t="s">
        <v>163</v>
      </c>
      <c r="O117" s="19">
        <v>1080</v>
      </c>
    </row>
    <row r="118" spans="1:15" x14ac:dyDescent="0.45">
      <c r="A118" s="198"/>
      <c r="B118" s="27" t="s">
        <v>164</v>
      </c>
      <c r="C118" s="19">
        <v>4</v>
      </c>
      <c r="E118" s="198"/>
      <c r="F118" s="27" t="s">
        <v>164</v>
      </c>
      <c r="G118" s="19">
        <v>4</v>
      </c>
      <c r="I118" s="198"/>
      <c r="J118" s="27" t="s">
        <v>164</v>
      </c>
      <c r="K118" s="19">
        <v>4</v>
      </c>
      <c r="M118" s="198"/>
      <c r="N118" s="27" t="s">
        <v>164</v>
      </c>
      <c r="O118" s="19">
        <v>2</v>
      </c>
    </row>
    <row r="119" spans="1:15" s="121" customFormat="1" ht="16.5" thickBot="1" x14ac:dyDescent="0.5">
      <c r="A119" s="206"/>
      <c r="B119" s="40" t="s">
        <v>212</v>
      </c>
      <c r="C119" s="122">
        <v>1.125</v>
      </c>
      <c r="E119" s="206"/>
      <c r="F119" s="40" t="s">
        <v>226</v>
      </c>
      <c r="G119" s="37">
        <f>C119</f>
        <v>1.125</v>
      </c>
      <c r="I119" s="206"/>
      <c r="J119" s="40" t="s">
        <v>226</v>
      </c>
      <c r="K119" s="37">
        <f>G119</f>
        <v>1.125</v>
      </c>
      <c r="M119" s="206"/>
      <c r="N119" s="40" t="s">
        <v>226</v>
      </c>
      <c r="O119" s="37">
        <f>K119</f>
        <v>1.125</v>
      </c>
    </row>
    <row r="120" spans="1:15" x14ac:dyDescent="0.45">
      <c r="A120" s="211" t="s">
        <v>31</v>
      </c>
      <c r="B120" s="124" t="s">
        <v>334</v>
      </c>
      <c r="C120" s="17">
        <v>1</v>
      </c>
      <c r="E120" s="173"/>
      <c r="F120" s="174"/>
      <c r="G120" s="175"/>
      <c r="I120" s="173"/>
      <c r="J120" s="174"/>
      <c r="K120" s="175"/>
      <c r="L120" s="162"/>
      <c r="M120" s="173"/>
      <c r="N120" s="174"/>
      <c r="O120" s="175"/>
    </row>
    <row r="121" spans="1:15" x14ac:dyDescent="0.45">
      <c r="A121" s="212"/>
      <c r="B121" s="31" t="s">
        <v>29</v>
      </c>
      <c r="C121" s="19">
        <v>1920</v>
      </c>
      <c r="E121" s="171"/>
      <c r="F121" s="95"/>
      <c r="G121" s="172"/>
      <c r="I121" s="171"/>
      <c r="J121" s="95"/>
      <c r="K121" s="172"/>
      <c r="L121" s="162"/>
      <c r="M121" s="171"/>
      <c r="N121" s="95"/>
      <c r="O121" s="172"/>
    </row>
    <row r="122" spans="1:15" x14ac:dyDescent="0.45">
      <c r="A122" s="212"/>
      <c r="B122" s="31" t="s">
        <v>67</v>
      </c>
      <c r="C122" s="19">
        <v>1080</v>
      </c>
      <c r="E122" s="171"/>
      <c r="F122" s="95"/>
      <c r="G122" s="172"/>
      <c r="I122" s="171"/>
      <c r="J122" s="95"/>
      <c r="K122" s="172"/>
      <c r="L122" s="162"/>
      <c r="M122" s="171"/>
      <c r="N122" s="95"/>
      <c r="O122" s="172"/>
    </row>
    <row r="123" spans="1:15" x14ac:dyDescent="0.45">
      <c r="A123" s="212"/>
      <c r="B123" s="31" t="s">
        <v>69</v>
      </c>
      <c r="C123" s="19">
        <v>4</v>
      </c>
      <c r="E123" s="171"/>
      <c r="F123" s="95"/>
      <c r="G123" s="172"/>
      <c r="I123" s="171"/>
      <c r="J123" s="95"/>
      <c r="K123" s="172"/>
      <c r="L123" s="162"/>
      <c r="M123" s="171"/>
      <c r="N123" s="95"/>
      <c r="O123" s="172"/>
    </row>
    <row r="124" spans="1:15" s="121" customFormat="1" x14ac:dyDescent="0.45">
      <c r="A124" s="198"/>
      <c r="B124" s="31" t="s">
        <v>226</v>
      </c>
      <c r="C124" s="18">
        <v>1.125</v>
      </c>
      <c r="E124" s="171"/>
      <c r="F124" s="95"/>
      <c r="G124" s="172"/>
      <c r="I124" s="171"/>
      <c r="J124" s="95"/>
      <c r="K124" s="172"/>
      <c r="L124" s="162"/>
      <c r="M124" s="171"/>
      <c r="N124" s="95"/>
      <c r="O124" s="172"/>
    </row>
    <row r="125" spans="1:15" s="121" customFormat="1" x14ac:dyDescent="0.45">
      <c r="A125" s="198"/>
      <c r="B125" s="31" t="s">
        <v>225</v>
      </c>
      <c r="C125" s="19">
        <v>4096</v>
      </c>
      <c r="E125" s="171"/>
      <c r="F125" s="95"/>
      <c r="G125" s="172"/>
      <c r="I125" s="171"/>
      <c r="J125" s="95"/>
      <c r="K125" s="172"/>
      <c r="L125" s="162"/>
      <c r="M125" s="171"/>
      <c r="N125" s="95"/>
      <c r="O125" s="172"/>
    </row>
    <row r="126" spans="1:15" s="121" customFormat="1" x14ac:dyDescent="0.45">
      <c r="A126" s="198"/>
      <c r="B126" s="31" t="s">
        <v>206</v>
      </c>
      <c r="C126" s="19">
        <v>0.3</v>
      </c>
      <c r="E126" s="171"/>
      <c r="F126" s="95"/>
      <c r="G126" s="172"/>
      <c r="I126" s="171"/>
      <c r="J126" s="95"/>
      <c r="K126" s="172"/>
      <c r="L126" s="162"/>
      <c r="M126" s="171"/>
      <c r="N126" s="95"/>
      <c r="O126" s="172"/>
    </row>
    <row r="127" spans="1:15" s="121" customFormat="1" ht="16.5" thickBot="1" x14ac:dyDescent="0.5">
      <c r="A127" s="199"/>
      <c r="B127" s="125" t="s">
        <v>208</v>
      </c>
      <c r="C127" s="20">
        <v>7</v>
      </c>
      <c r="E127" s="171"/>
      <c r="F127" s="95"/>
      <c r="G127" s="172"/>
      <c r="I127" s="171"/>
      <c r="J127" s="95"/>
      <c r="K127" s="172"/>
      <c r="L127" s="162"/>
      <c r="M127" s="171"/>
      <c r="N127" s="95"/>
      <c r="O127" s="172"/>
    </row>
    <row r="128" spans="1:15" x14ac:dyDescent="0.45">
      <c r="A128" s="241" t="s">
        <v>63</v>
      </c>
      <c r="B128" s="123" t="s">
        <v>64</v>
      </c>
      <c r="C128" s="81">
        <v>0</v>
      </c>
      <c r="D128" s="15"/>
      <c r="E128" s="171"/>
      <c r="F128" s="95"/>
      <c r="G128" s="172"/>
      <c r="H128" s="15"/>
      <c r="I128" s="171"/>
      <c r="J128" s="95"/>
      <c r="K128" s="172"/>
      <c r="L128" s="12"/>
      <c r="M128" s="171"/>
      <c r="N128" s="95"/>
      <c r="O128" s="172"/>
    </row>
    <row r="129" spans="1:15" x14ac:dyDescent="0.45">
      <c r="A129" s="240"/>
      <c r="B129" s="33" t="s">
        <v>221</v>
      </c>
      <c r="C129" s="19">
        <v>16000</v>
      </c>
      <c r="D129" s="15"/>
      <c r="E129" s="171"/>
      <c r="F129" s="95"/>
      <c r="G129" s="172"/>
      <c r="H129" s="15"/>
      <c r="I129" s="171"/>
      <c r="J129" s="95"/>
      <c r="K129" s="172"/>
      <c r="L129" s="12"/>
      <c r="M129" s="171"/>
      <c r="N129" s="95"/>
      <c r="O129" s="172"/>
    </row>
    <row r="130" spans="1:15" x14ac:dyDescent="0.45">
      <c r="A130" s="240"/>
      <c r="B130" s="33" t="s">
        <v>219</v>
      </c>
      <c r="C130" s="19">
        <v>1</v>
      </c>
      <c r="D130" s="15"/>
      <c r="E130" s="171"/>
      <c r="F130" s="95"/>
      <c r="G130" s="172"/>
      <c r="H130" s="15"/>
      <c r="I130" s="171"/>
      <c r="J130" s="95"/>
      <c r="K130" s="172"/>
      <c r="L130" s="12"/>
      <c r="M130" s="171"/>
      <c r="N130" s="95"/>
      <c r="O130" s="172"/>
    </row>
    <row r="131" spans="1:15" s="121" customFormat="1" x14ac:dyDescent="0.45">
      <c r="A131" s="198"/>
      <c r="B131" s="33" t="s">
        <v>220</v>
      </c>
      <c r="C131" s="19">
        <v>16</v>
      </c>
      <c r="D131" s="15"/>
      <c r="E131" s="171"/>
      <c r="F131" s="95"/>
      <c r="G131" s="172"/>
      <c r="H131" s="15"/>
      <c r="I131" s="171"/>
      <c r="J131" s="95"/>
      <c r="K131" s="172"/>
      <c r="L131" s="12"/>
      <c r="M131" s="171"/>
      <c r="N131" s="95"/>
      <c r="O131" s="172"/>
    </row>
    <row r="132" spans="1:15" s="121" customFormat="1" x14ac:dyDescent="0.45">
      <c r="A132" s="198"/>
      <c r="B132" s="33" t="s">
        <v>222</v>
      </c>
      <c r="C132" s="19">
        <v>640</v>
      </c>
      <c r="D132" s="15"/>
      <c r="E132" s="171"/>
      <c r="F132" s="95"/>
      <c r="G132" s="172"/>
      <c r="H132" s="15"/>
      <c r="I132" s="171"/>
      <c r="J132" s="95"/>
      <c r="K132" s="172"/>
      <c r="L132" s="12"/>
      <c r="M132" s="171"/>
      <c r="N132" s="95"/>
      <c r="O132" s="172"/>
    </row>
    <row r="133" spans="1:15" s="121" customFormat="1" ht="16.5" thickBot="1" x14ac:dyDescent="0.5">
      <c r="A133" s="206"/>
      <c r="B133" s="34" t="s">
        <v>224</v>
      </c>
      <c r="C133" s="37">
        <v>20</v>
      </c>
      <c r="D133" s="15"/>
      <c r="E133" s="171"/>
      <c r="F133" s="95"/>
      <c r="G133" s="172"/>
      <c r="H133" s="15"/>
      <c r="I133" s="171"/>
      <c r="J133" s="95"/>
      <c r="K133" s="172"/>
      <c r="L133" s="12"/>
      <c r="M133" s="171"/>
      <c r="N133" s="95"/>
      <c r="O133" s="172"/>
    </row>
    <row r="134" spans="1:15" s="121" customFormat="1" x14ac:dyDescent="0.45">
      <c r="A134" s="239" t="s">
        <v>223</v>
      </c>
      <c r="B134" s="32" t="s">
        <v>5</v>
      </c>
      <c r="C134" s="21">
        <v>3</v>
      </c>
      <c r="D134" s="15"/>
      <c r="E134" s="171"/>
      <c r="F134" s="95"/>
      <c r="G134" s="172"/>
      <c r="H134" s="15"/>
      <c r="I134" s="171"/>
      <c r="J134" s="95"/>
      <c r="K134" s="172"/>
      <c r="L134" s="12"/>
      <c r="M134" s="171"/>
      <c r="N134" s="95"/>
      <c r="O134" s="172"/>
    </row>
    <row r="135" spans="1:15" s="121" customFormat="1" x14ac:dyDescent="0.45">
      <c r="A135" s="240"/>
      <c r="B135" s="33" t="s">
        <v>221</v>
      </c>
      <c r="C135" s="19">
        <v>16000</v>
      </c>
      <c r="D135" s="15"/>
      <c r="E135" s="171"/>
      <c r="F135" s="95"/>
      <c r="G135" s="172"/>
      <c r="H135" s="15"/>
      <c r="I135" s="171"/>
      <c r="J135" s="95"/>
      <c r="K135" s="172"/>
      <c r="L135" s="12"/>
      <c r="M135" s="171"/>
      <c r="N135" s="95"/>
      <c r="O135" s="172"/>
    </row>
    <row r="136" spans="1:15" s="121" customFormat="1" x14ac:dyDescent="0.45">
      <c r="A136" s="240"/>
      <c r="B136" s="33" t="s">
        <v>219</v>
      </c>
      <c r="C136" s="19">
        <v>1</v>
      </c>
      <c r="D136" s="15"/>
      <c r="E136" s="171"/>
      <c r="F136" s="95"/>
      <c r="G136" s="172"/>
      <c r="H136" s="15"/>
      <c r="I136" s="171"/>
      <c r="J136" s="95"/>
      <c r="K136" s="172"/>
      <c r="L136" s="12"/>
      <c r="M136" s="171"/>
      <c r="N136" s="95"/>
      <c r="O136" s="172"/>
    </row>
    <row r="137" spans="1:15" s="121" customFormat="1" x14ac:dyDescent="0.45">
      <c r="A137" s="198"/>
      <c r="B137" s="33" t="s">
        <v>220</v>
      </c>
      <c r="C137" s="19">
        <v>16</v>
      </c>
      <c r="D137" s="15"/>
      <c r="E137" s="171"/>
      <c r="F137" s="95"/>
      <c r="G137" s="172"/>
      <c r="H137" s="15"/>
      <c r="I137" s="171"/>
      <c r="J137" s="95"/>
      <c r="K137" s="172"/>
      <c r="L137" s="12"/>
      <c r="M137" s="171"/>
      <c r="N137" s="95"/>
      <c r="O137" s="172"/>
    </row>
    <row r="138" spans="1:15" x14ac:dyDescent="0.45">
      <c r="A138" s="198"/>
      <c r="B138" s="33" t="s">
        <v>222</v>
      </c>
      <c r="C138" s="19">
        <v>1024</v>
      </c>
      <c r="E138" s="171"/>
      <c r="F138" s="95"/>
      <c r="G138" s="172"/>
      <c r="I138" s="171"/>
      <c r="J138" s="95"/>
      <c r="K138" s="172"/>
      <c r="M138" s="171"/>
      <c r="N138" s="95"/>
      <c r="O138" s="172"/>
    </row>
    <row r="139" spans="1:15" s="121" customFormat="1" ht="16.5" thickBot="1" x14ac:dyDescent="0.5">
      <c r="A139" s="206"/>
      <c r="B139" s="131" t="s">
        <v>224</v>
      </c>
      <c r="C139" s="37">
        <v>10</v>
      </c>
      <c r="E139" s="176"/>
      <c r="F139" s="177"/>
      <c r="G139" s="178"/>
      <c r="I139" s="176"/>
      <c r="J139" s="177"/>
      <c r="K139" s="178"/>
      <c r="M139" s="176"/>
      <c r="N139" s="177"/>
      <c r="O139" s="178"/>
    </row>
    <row r="140" spans="1:15" ht="16.5" thickBot="1" x14ac:dyDescent="0.5">
      <c r="A140" s="133" t="s">
        <v>229</v>
      </c>
      <c r="B140" s="134" t="s">
        <v>372</v>
      </c>
      <c r="C140" s="132">
        <v>327680</v>
      </c>
      <c r="E140" s="168" t="s">
        <v>229</v>
      </c>
      <c r="F140" s="169" t="s">
        <v>372</v>
      </c>
      <c r="G140" s="170">
        <v>0</v>
      </c>
      <c r="I140" s="168" t="s">
        <v>229</v>
      </c>
      <c r="J140" s="169" t="s">
        <v>377</v>
      </c>
      <c r="K140" s="170">
        <v>40960</v>
      </c>
      <c r="M140" s="168" t="s">
        <v>229</v>
      </c>
      <c r="N140" s="169" t="s">
        <v>372</v>
      </c>
      <c r="O140" s="170">
        <v>0</v>
      </c>
    </row>
    <row r="141" spans="1:15" ht="16.5" thickBot="1" x14ac:dyDescent="0.5">
      <c r="A141" s="133" t="s">
        <v>227</v>
      </c>
      <c r="B141" s="134" t="s">
        <v>373</v>
      </c>
      <c r="C141" s="132">
        <v>0</v>
      </c>
      <c r="E141" s="133" t="s">
        <v>227</v>
      </c>
      <c r="F141" s="134" t="s">
        <v>375</v>
      </c>
      <c r="G141" s="132">
        <v>4096</v>
      </c>
      <c r="I141" s="133" t="s">
        <v>227</v>
      </c>
      <c r="J141" s="134" t="s">
        <v>373</v>
      </c>
      <c r="K141" s="132">
        <v>4096</v>
      </c>
      <c r="M141" s="133" t="s">
        <v>227</v>
      </c>
      <c r="N141" s="134" t="s">
        <v>373</v>
      </c>
      <c r="O141" s="132">
        <v>0</v>
      </c>
    </row>
    <row r="142" spans="1:15" ht="16.5" thickBot="1" x14ac:dyDescent="0.5">
      <c r="A142" s="133" t="s">
        <v>228</v>
      </c>
      <c r="B142" s="134" t="s">
        <v>374</v>
      </c>
      <c r="C142" s="132">
        <v>104488</v>
      </c>
      <c r="E142" s="133" t="s">
        <v>228</v>
      </c>
      <c r="F142" s="134" t="s">
        <v>376</v>
      </c>
      <c r="G142" s="132">
        <v>257504</v>
      </c>
      <c r="I142" s="133" t="s">
        <v>228</v>
      </c>
      <c r="J142" s="134" t="s">
        <v>374</v>
      </c>
      <c r="K142" s="132">
        <v>32768</v>
      </c>
      <c r="M142" s="133" t="s">
        <v>228</v>
      </c>
      <c r="N142" s="134" t="s">
        <v>374</v>
      </c>
      <c r="O142" s="132">
        <v>0</v>
      </c>
    </row>
    <row r="143" spans="1:15" ht="5.45" customHeight="1" x14ac:dyDescent="0.45"/>
    <row r="144" spans="1:15" s="137" customFormat="1" ht="14" customHeight="1" x14ac:dyDescent="0.45">
      <c r="A144" s="238"/>
      <c r="B144" s="233"/>
      <c r="C144" s="150"/>
      <c r="D144" s="151"/>
      <c r="E144" s="157"/>
      <c r="F144" s="157"/>
      <c r="G144" s="158"/>
      <c r="H144" s="12"/>
      <c r="I144" s="157"/>
      <c r="J144" s="157"/>
      <c r="K144" s="158"/>
      <c r="L144" s="151"/>
      <c r="M144" s="15"/>
    </row>
    <row r="145" spans="1:13" ht="11" customHeight="1" x14ac:dyDescent="0.45">
      <c r="A145" s="236" t="s">
        <v>328</v>
      </c>
      <c r="B145" s="237"/>
      <c r="C145" s="148"/>
      <c r="D145" s="149"/>
      <c r="E145" s="236"/>
      <c r="F145" s="237"/>
      <c r="G145" s="150"/>
      <c r="H145" s="151"/>
      <c r="I145" s="234" t="s">
        <v>330</v>
      </c>
      <c r="J145" s="235"/>
      <c r="K145" s="150"/>
      <c r="L145" s="151"/>
      <c r="M145" s="159"/>
    </row>
    <row r="146" spans="1:13" ht="11" customHeight="1" x14ac:dyDescent="0.45">
      <c r="A146" s="237"/>
      <c r="B146" s="237"/>
      <c r="C146" s="148"/>
      <c r="D146" s="149"/>
      <c r="E146" s="237"/>
      <c r="F146" s="237"/>
      <c r="G146" s="150"/>
      <c r="H146" s="151"/>
      <c r="I146" s="235"/>
      <c r="J146" s="235"/>
      <c r="K146" s="150"/>
      <c r="L146" s="151"/>
      <c r="M146" s="15"/>
    </row>
    <row r="147" spans="1:13" ht="9.6" customHeight="1" x14ac:dyDescent="0.45">
      <c r="A147" s="200" t="str">
        <f>"               hdal-memory {
                            media { reg = &lt;0 0 0x.. 0x.. 0x..
                                                  0 1 0x.. 0x.. 0x.."</f>
        <v xml:space="preserve">               hdal-memory {
                            media { reg = &lt;0 0 0x.. 0x.. 0x..
                                                  0 1 0x.. 0x.. 0x..</v>
      </c>
      <c r="B147" s="201"/>
      <c r="C147" s="148"/>
      <c r="D147" s="149"/>
      <c r="E147" s="200"/>
      <c r="F147" s="201"/>
      <c r="G147" s="150"/>
      <c r="H147" s="151"/>
      <c r="I147" s="200" t="s">
        <v>329</v>
      </c>
      <c r="J147" s="201"/>
      <c r="K147" s="150"/>
      <c r="L147" s="151"/>
      <c r="M147" s="15"/>
    </row>
    <row r="148" spans="1:13" ht="20" customHeight="1" x14ac:dyDescent="0.4">
      <c r="A148" s="201"/>
      <c r="B148" s="201"/>
      <c r="C148" s="152" t="str">
        <f>"0x"&amp;DEC2HEX(C5*1024)</f>
        <v>0x23000000</v>
      </c>
      <c r="D148" s="153"/>
      <c r="E148" s="201"/>
      <c r="F148" s="201"/>
      <c r="G148" s="152"/>
      <c r="H148" s="153"/>
      <c r="I148" s="201"/>
      <c r="J148" s="201"/>
      <c r="K148" s="152" t="str">
        <f>"0x"&amp;DEC2HEX(K5*1024)</f>
        <v>0x9700000</v>
      </c>
      <c r="L148" s="153"/>
      <c r="M148" s="15"/>
    </row>
    <row r="149" spans="1:13" x14ac:dyDescent="0.4">
      <c r="A149" s="195"/>
      <c r="B149" s="195"/>
      <c r="C149" s="152" t="str">
        <f>"0x"&amp;DEC2HEX(G5*1024)</f>
        <v>0x40800000</v>
      </c>
      <c r="D149" s="153" t="s">
        <v>232</v>
      </c>
      <c r="E149" s="15"/>
      <c r="F149" s="15"/>
      <c r="G149" s="15"/>
      <c r="H149" s="15"/>
      <c r="I149" s="201"/>
      <c r="J149" s="201"/>
      <c r="K149" s="186" t="str">
        <f>"0x"&amp;DEC2HEX(O5*1024)</f>
        <v>0x0</v>
      </c>
      <c r="L149" s="154" t="s">
        <v>232</v>
      </c>
      <c r="M149" s="15"/>
    </row>
    <row r="150" spans="1:13" customFormat="1" ht="6.6" customHeight="1" x14ac:dyDescent="0.45"/>
    <row r="151" spans="1:13" x14ac:dyDescent="0.45">
      <c r="A151" s="233" t="s">
        <v>242</v>
      </c>
      <c r="B151" s="233"/>
      <c r="C151" s="155"/>
      <c r="D151" s="156"/>
      <c r="E151" s="156"/>
      <c r="F151" s="163"/>
      <c r="G151" s="15"/>
      <c r="H151" s="15"/>
      <c r="I151" s="15"/>
      <c r="J151" s="15"/>
      <c r="K151" s="15"/>
      <c r="L151" s="15"/>
      <c r="M151" s="15"/>
    </row>
    <row r="152" spans="1:13" ht="16.25" customHeight="1" x14ac:dyDescent="0.45">
      <c r="A152" s="189"/>
      <c r="B152" s="194" t="str">
        <f>"modprobe ms max_channels="&amp;MAX(C79,C53,G79,G53)+MAX(K79,K53,O79,O53)*(C2="636+")</f>
        <v>modprobe ms max_channels=16</v>
      </c>
      <c r="C152" s="195"/>
      <c r="D152" s="195"/>
      <c r="E152" s="195"/>
      <c r="F152" s="195"/>
      <c r="G152" s="195"/>
      <c r="H152" s="195"/>
      <c r="I152" s="195"/>
      <c r="J152" s="195"/>
      <c r="K152" s="15"/>
      <c r="L152" s="15"/>
      <c r="M152" s="15"/>
    </row>
    <row r="153" spans="1:13" x14ac:dyDescent="0.45">
      <c r="A153" s="189"/>
      <c r="B153" s="194" t="str">
        <f>"modprobe em max_channels="&amp;MAX(C79,C53,G79,G53)+MAX(K79,K53,O79,O53)*(C2="636+")</f>
        <v>modprobe em max_channels=16</v>
      </c>
      <c r="C153" s="195"/>
      <c r="D153" s="195"/>
      <c r="E153" s="195"/>
      <c r="F153" s="195"/>
      <c r="G153" s="195"/>
      <c r="H153" s="195"/>
      <c r="I153" s="195"/>
      <c r="J153" s="195"/>
      <c r="K153" s="15"/>
      <c r="L153" s="15"/>
      <c r="M153" s="15"/>
    </row>
    <row r="154" spans="1:13" ht="16.25" customHeight="1" x14ac:dyDescent="0.45">
      <c r="A154" s="189"/>
      <c r="B154" s="194" t="str">
        <f>"modprobe gs max_channels="&amp;MAX(C79,C53,G79,G53)+MAX(K79,K53,O79,O53)*(C2="636+")</f>
        <v>modprobe gs max_channels=16</v>
      </c>
      <c r="C154" s="195"/>
      <c r="D154" s="195"/>
      <c r="E154" s="195"/>
      <c r="F154" s="195"/>
      <c r="G154" s="195"/>
      <c r="H154" s="195"/>
      <c r="I154" s="195"/>
      <c r="J154" s="195"/>
      <c r="K154" s="15"/>
      <c r="L154" s="15"/>
      <c r="M154" s="15"/>
    </row>
    <row r="155" spans="1:13" x14ac:dyDescent="0.45">
      <c r="A155" s="189"/>
      <c r="B155" s="194" t="str">
        <f>"modprobe vpd max_channels="&amp;MAX(C79,C53,G79,G53)+MAX(K79,K53,O79,O53)*(C2="636+")</f>
        <v>modprobe vpd max_channels=16</v>
      </c>
      <c r="C155" s="195"/>
      <c r="D155" s="195"/>
      <c r="E155" s="195"/>
      <c r="F155" s="195"/>
      <c r="G155" s="195"/>
      <c r="H155" s="195"/>
      <c r="I155" s="195"/>
      <c r="J155" s="195"/>
      <c r="K155" s="15"/>
      <c r="L155" s="15"/>
      <c r="M155" s="15"/>
    </row>
    <row r="156" spans="1:13" x14ac:dyDescent="0.45">
      <c r="A156" s="189"/>
      <c r="B156" s="194" t="str">
        <f>"modprobe kflow_vpe max_total_cam_ch="&amp;C168*2+C115+C120+C169</f>
        <v>modprobe kflow_vpe max_total_cam_ch=81</v>
      </c>
      <c r="C156" s="195"/>
      <c r="D156" s="195"/>
      <c r="E156" s="195"/>
      <c r="F156" s="195"/>
      <c r="G156" s="195"/>
      <c r="H156" s="195"/>
      <c r="I156" s="195"/>
      <c r="J156" s="195"/>
      <c r="K156" s="15"/>
      <c r="L156" s="15"/>
      <c r="M156" s="15"/>
    </row>
    <row r="157" spans="1:13" x14ac:dyDescent="0.45">
      <c r="A157" s="189"/>
      <c r="B157" s="194" t="str">
        <f>IF(C3="DVR","modprobe kflow_dei max_total_cam_ch="&amp;C168*2+C115+C120+C169,"")</f>
        <v/>
      </c>
      <c r="C157" s="195"/>
      <c r="D157" s="195"/>
      <c r="E157" s="195"/>
      <c r="F157" s="195"/>
      <c r="G157" s="195"/>
      <c r="H157" s="195"/>
      <c r="I157" s="195"/>
      <c r="J157" s="195"/>
      <c r="K157" s="15"/>
      <c r="L157" s="15"/>
      <c r="M157" s="15"/>
    </row>
    <row r="158" spans="1:13" s="187" customFormat="1" x14ac:dyDescent="0.45">
      <c r="A158" s="189"/>
      <c r="B158" s="194" t="str">
        <f>"modprobe kdrv_jpg jpeg_enc_max_chn="&amp;IF(C165&lt;64,C165,64)&amp;" jpeg_dec_max_chn="&amp;IF(C168&lt;64,C168,64)</f>
        <v>modprobe kdrv_jpg jpeg_enc_max_chn=25 jpeg_dec_max_chn=32</v>
      </c>
      <c r="C158" s="195"/>
      <c r="D158" s="195"/>
      <c r="E158" s="195"/>
      <c r="F158" s="195"/>
      <c r="G158" s="195"/>
      <c r="H158" s="195"/>
      <c r="I158" s="195"/>
      <c r="J158" s="195"/>
      <c r="K158" s="188"/>
      <c r="L158" s="188"/>
      <c r="M158" s="188"/>
    </row>
    <row r="159" spans="1:13" ht="16.5" customHeight="1" x14ac:dyDescent="0.45">
      <c r="A159" s="189"/>
      <c r="B159" s="194" t="str">
        <f>"modprobe kdrv_venc h26x_enc_max_width="&amp;C163&amp;" h26x_enc_max_height ="&amp;C164&amp;" max_total_cam_ch="&amp;IF(C165&lt;64,C165,64)</f>
        <v>modprobe kdrv_venc h26x_enc_max_width=1920 h26x_enc_max_height =1080 max_total_cam_ch=25</v>
      </c>
      <c r="C159" s="195"/>
      <c r="D159" s="195"/>
      <c r="E159" s="195"/>
      <c r="F159" s="195"/>
      <c r="G159" s="195"/>
      <c r="H159" s="195"/>
      <c r="I159" s="195"/>
      <c r="J159" s="195"/>
      <c r="K159" s="15"/>
      <c r="L159" s="15"/>
      <c r="M159" s="15"/>
    </row>
    <row r="160" spans="1:13" x14ac:dyDescent="0.45">
      <c r="A160" s="189"/>
      <c r="B160" s="194" t="str">
        <f>"modprobe h26xdec h26xd_max_width="&amp;C166&amp;" h26xd_max_height="&amp;C167&amp;" max_total_cam_ch="&amp;IF(C168&lt;64,C168,64)</f>
        <v>modprobe h26xdec h26xd_max_width=3840 h26xd_max_height=2160 max_total_cam_ch=32</v>
      </c>
      <c r="C160" s="195"/>
      <c r="D160" s="195"/>
      <c r="E160" s="195"/>
      <c r="F160" s="195"/>
      <c r="G160" s="195"/>
      <c r="H160" s="195"/>
      <c r="I160" s="195"/>
      <c r="J160" s="195"/>
      <c r="K160" s="15"/>
      <c r="L160" s="15"/>
      <c r="M160" s="15"/>
    </row>
    <row r="161" spans="1:10" x14ac:dyDescent="0.45">
      <c r="A161" s="189"/>
      <c r="B161" s="194"/>
      <c r="C161" s="195"/>
      <c r="D161" s="195"/>
      <c r="E161" s="195"/>
      <c r="F161" s="195"/>
      <c r="G161" s="195"/>
      <c r="H161" s="195"/>
      <c r="I161" s="195"/>
      <c r="J161" s="195"/>
    </row>
    <row r="162" spans="1:10" x14ac:dyDescent="0.45">
      <c r="A162" s="189"/>
      <c r="B162" s="190"/>
      <c r="C162" s="190"/>
      <c r="D162" s="190"/>
      <c r="E162" s="190"/>
      <c r="F162" s="187"/>
    </row>
    <row r="163" spans="1:10" s="187" customFormat="1" x14ac:dyDescent="0.45">
      <c r="A163" s="189"/>
      <c r="B163" s="191" t="s">
        <v>341</v>
      </c>
      <c r="C163" s="192">
        <f>MAX(C85*(C79&gt;0),G85*(G79&gt;0),K85*(K79&gt;0),O85*(O79&gt;0),C97*(C91&gt;0),G97*(G91&gt;0),K97*(K91&gt;0),O97*(O91&gt;0))</f>
        <v>1920</v>
      </c>
      <c r="D163" s="190"/>
      <c r="E163" s="190"/>
    </row>
    <row r="164" spans="1:10" s="187" customFormat="1" x14ac:dyDescent="0.45">
      <c r="A164" s="189"/>
      <c r="B164" s="191" t="s">
        <v>343</v>
      </c>
      <c r="C164" s="192">
        <f>MAX(C86*(C79&gt;0),G86*(G79&gt;0),K86*(K79&gt;0),O86*(O79&gt;0),C98*(C91&gt;0),G98*(G91&gt;0),K98*(K91&gt;0),O98*(O91&gt;0))</f>
        <v>1080</v>
      </c>
      <c r="D164" s="190"/>
      <c r="E164" s="190"/>
    </row>
    <row r="165" spans="1:10" x14ac:dyDescent="0.45">
      <c r="B165" s="191" t="s">
        <v>244</v>
      </c>
      <c r="C165" s="192">
        <f>(C79+C91+C103+C115+(C120&gt;0)+G79+G91+G103+G115+($C$2="636+")*(K79+K91+K103+K115+O79+O91+O103+O115))+C169</f>
        <v>25</v>
      </c>
    </row>
    <row r="166" spans="1:10" s="187" customFormat="1" x14ac:dyDescent="0.45">
      <c r="B166" s="191" t="s">
        <v>342</v>
      </c>
      <c r="C166" s="192">
        <f>MAX(C61*(C53&gt;0),G61*(G53&gt;0),K61*(K53&gt;0),O61*(O53&gt;0),C73*(C65&gt;0),G73*(G65&gt;0),K73*(K65&gt;0),O73*(O65&gt;0))</f>
        <v>3840</v>
      </c>
    </row>
    <row r="167" spans="1:10" s="187" customFormat="1" x14ac:dyDescent="0.45">
      <c r="B167" s="191" t="s">
        <v>344</v>
      </c>
      <c r="C167" s="192">
        <f>MAX(C62*(C53&gt;0),G62*(G53&gt;0),K62*(K53&gt;0),O62*(O53&gt;0),C74*(C65&gt;0),G74*(G65&gt;0),K74*(K65&gt;0),O74*(O65&gt;0))</f>
        <v>2160</v>
      </c>
    </row>
    <row r="168" spans="1:10" x14ac:dyDescent="0.45">
      <c r="B168" s="191" t="s">
        <v>245</v>
      </c>
      <c r="C168" s="192">
        <f>C53+C65+G53+G65+($C$2="636+")*(K53+K65+O53+O65)+C169</f>
        <v>32</v>
      </c>
    </row>
    <row r="169" spans="1:10" x14ac:dyDescent="0.45">
      <c r="B169" s="191" t="s">
        <v>345</v>
      </c>
      <c r="C169" s="192">
        <f>MAX(C53+G53+K53*(C2="636+")+O53*(C2="636+"),C79+G79+K79*(C2="636+")+O79*(C2="636+"))</f>
        <v>16</v>
      </c>
    </row>
  </sheetData>
  <mergeCells count="64">
    <mergeCell ref="A151:B151"/>
    <mergeCell ref="I145:J146"/>
    <mergeCell ref="I147:J149"/>
    <mergeCell ref="I77:I78"/>
    <mergeCell ref="M77:M78"/>
    <mergeCell ref="E145:F146"/>
    <mergeCell ref="E147:F148"/>
    <mergeCell ref="A144:B144"/>
    <mergeCell ref="A145:B146"/>
    <mergeCell ref="A134:A139"/>
    <mergeCell ref="A128:A133"/>
    <mergeCell ref="A1:P1"/>
    <mergeCell ref="A7:C7"/>
    <mergeCell ref="C2:E2"/>
    <mergeCell ref="C3:E3"/>
    <mergeCell ref="A2:B2"/>
    <mergeCell ref="E7:G7"/>
    <mergeCell ref="I7:K7"/>
    <mergeCell ref="M7:O7"/>
    <mergeCell ref="A5:B5"/>
    <mergeCell ref="E5:F5"/>
    <mergeCell ref="I5:J5"/>
    <mergeCell ref="A8:A22"/>
    <mergeCell ref="M115:M119"/>
    <mergeCell ref="A120:A127"/>
    <mergeCell ref="E79:E90"/>
    <mergeCell ref="I79:I90"/>
    <mergeCell ref="M79:M90"/>
    <mergeCell ref="E91:E102"/>
    <mergeCell ref="I91:I102"/>
    <mergeCell ref="A79:A90"/>
    <mergeCell ref="E65:E76"/>
    <mergeCell ref="I65:I76"/>
    <mergeCell ref="M53:M64"/>
    <mergeCell ref="A65:A76"/>
    <mergeCell ref="A115:A119"/>
    <mergeCell ref="E115:E119"/>
    <mergeCell ref="I115:I119"/>
    <mergeCell ref="M65:M76"/>
    <mergeCell ref="A147:B149"/>
    <mergeCell ref="M5:N5"/>
    <mergeCell ref="I103:I114"/>
    <mergeCell ref="M103:M114"/>
    <mergeCell ref="A91:A102"/>
    <mergeCell ref="A103:A114"/>
    <mergeCell ref="E103:E114"/>
    <mergeCell ref="A23:A37"/>
    <mergeCell ref="A38:A52"/>
    <mergeCell ref="A77:A78"/>
    <mergeCell ref="E77:E78"/>
    <mergeCell ref="M91:M102"/>
    <mergeCell ref="A53:A64"/>
    <mergeCell ref="E53:E64"/>
    <mergeCell ref="I53:I64"/>
    <mergeCell ref="B157:J157"/>
    <mergeCell ref="B158:J158"/>
    <mergeCell ref="B159:J159"/>
    <mergeCell ref="B160:J160"/>
    <mergeCell ref="B161:J161"/>
    <mergeCell ref="B152:J152"/>
    <mergeCell ref="B153:J153"/>
    <mergeCell ref="B154:J154"/>
    <mergeCell ref="B155:J155"/>
    <mergeCell ref="B156:J156"/>
  </mergeCells>
  <phoneticPr fontId="2" type="noConversion"/>
  <conditionalFormatting sqref="I5:O151">
    <cfRule type="expression" dxfId="4" priority="1">
      <formula>NOT($C$2="636+")</formula>
    </cfRule>
  </conditionalFormatting>
  <dataValidations count="13">
    <dataValidation type="list" allowBlank="1" showInputMessage="1" showErrorMessage="1" sqref="C99 C87 C36 C77 C21 C51 C111 C17:C18 C32" xr:uid="{00000000-0002-0000-0100-000000000000}">
      <formula1>"0, 1"</formula1>
    </dataValidation>
    <dataValidation type="list" allowBlank="1" showInputMessage="1" showErrorMessage="1" sqref="C9 C23:C24 C38:C39 C120" xr:uid="{00000000-0002-0000-0100-000001000000}">
      <formula1>"0,1,2"</formula1>
    </dataValidation>
    <dataValidation type="list" allowBlank="1" showInputMessage="1" showErrorMessage="1" sqref="C2:E2" xr:uid="{00000000-0002-0000-0100-000002000000}">
      <formula1>"636,636+"</formula1>
    </dataValidation>
    <dataValidation type="list" allowBlank="1" showInputMessage="1" showErrorMessage="1" sqref="C136 C130" xr:uid="{00000000-0002-0000-0100-000003000000}">
      <formula1>"1,2"</formula1>
    </dataValidation>
    <dataValidation type="list" allowBlank="1" showInputMessage="1" showErrorMessage="1" sqref="C124 C119 C107 C95 C83 C50 C35 C20 C10 C25" xr:uid="{00000000-0002-0000-0100-000004000000}">
      <formula1>"1.5,2,1.125"</formula1>
    </dataValidation>
    <dataValidation type="list" allowBlank="1" showInputMessage="1" showErrorMessage="1" sqref="D3:E4 C3" xr:uid="{00000000-0002-0000-0100-000005000000}">
      <formula1>"DVR,NVR"</formula1>
    </dataValidation>
    <dataValidation type="list" allowBlank="1" showInputMessage="1" showErrorMessage="1" sqref="C44 C29 C14" xr:uid="{00000000-0002-0000-0100-000006000000}">
      <formula1>"2,4"</formula1>
    </dataValidation>
    <dataValidation type="list" allowBlank="1" showInputMessage="1" showErrorMessage="1" sqref="C40" xr:uid="{00000000-0002-0000-0100-000007000000}">
      <formula1>"2"</formula1>
    </dataValidation>
    <dataValidation type="list" allowBlank="1" showInputMessage="1" showErrorMessage="1" sqref="C71 C59" xr:uid="{00000000-0002-0000-0100-000008000000}">
      <formula1>"0,2,3,4"</formula1>
    </dataValidation>
    <dataValidation type="list" allowBlank="1" showInputMessage="1" showErrorMessage="1" sqref="C137 C131" xr:uid="{00000000-0002-0000-0100-000009000000}">
      <formula1>"16,32"</formula1>
    </dataValidation>
    <dataValidation type="list" allowBlank="1" showInputMessage="1" showErrorMessage="1" sqref="C47:C48 C33" xr:uid="{00000000-0002-0000-0100-00000A000000}">
      <formula1>"0"</formula1>
    </dataValidation>
    <dataValidation type="list" allowBlank="1" showInputMessage="1" showErrorMessage="1" sqref="C75 C63" xr:uid="{00000000-0002-0000-0100-00000B000000}">
      <formula1>"0, 1, 2, 3"</formula1>
    </dataValidation>
    <dataValidation type="list" allowBlank="1" showInputMessage="1" showErrorMessage="1" sqref="C8" xr:uid="{00000000-0002-0000-0100-00000C000000}">
      <formula1>"0, 1, 2"</formula1>
    </dataValidation>
  </dataValidations>
  <pageMargins left="0.75" right="0.75" top="1" bottom="1" header="0.5" footer="0.5"/>
  <pageSetup paperSize="209"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3"/>
  <dimension ref="A1:P34"/>
  <sheetViews>
    <sheetView topLeftCell="A13" zoomScaleNormal="100" workbookViewId="0">
      <selection sqref="A1:A2"/>
    </sheetView>
  </sheetViews>
  <sheetFormatPr defaultRowHeight="16.149999999999999" x14ac:dyDescent="0.45"/>
  <cols>
    <col min="1" max="1" width="59.33203125" customWidth="1"/>
    <col min="2" max="2" width="10.33203125" bestFit="1" customWidth="1"/>
    <col min="4" max="4" width="10.33203125" bestFit="1" customWidth="1"/>
    <col min="5" max="5" width="1" style="80" customWidth="1"/>
    <col min="9" max="9" width="1.1328125" customWidth="1"/>
    <col min="13" max="13" width="1" customWidth="1"/>
    <col min="16" max="16" width="9.796875" bestFit="1" customWidth="1"/>
  </cols>
  <sheetData>
    <row r="1" spans="1:16" ht="16.25" customHeight="1" x14ac:dyDescent="0.45">
      <c r="A1" s="246" t="s">
        <v>2</v>
      </c>
      <c r="B1" s="242" t="s">
        <v>152</v>
      </c>
      <c r="C1" s="243"/>
      <c r="D1" s="243"/>
      <c r="E1" s="85"/>
      <c r="F1" s="242" t="s">
        <v>268</v>
      </c>
      <c r="G1" s="243"/>
      <c r="H1" s="243"/>
      <c r="I1" s="85"/>
      <c r="J1" s="244" t="s">
        <v>269</v>
      </c>
      <c r="K1" s="245"/>
      <c r="L1" s="245"/>
      <c r="M1" s="85"/>
      <c r="N1" s="244" t="s">
        <v>270</v>
      </c>
      <c r="O1" s="245"/>
      <c r="P1" s="245"/>
    </row>
    <row r="2" spans="1:16" ht="16.25" customHeight="1" x14ac:dyDescent="0.45">
      <c r="A2" s="247"/>
      <c r="B2" s="82" t="s">
        <v>153</v>
      </c>
      <c r="C2" s="82" t="s">
        <v>154</v>
      </c>
      <c r="D2" s="82" t="s">
        <v>155</v>
      </c>
      <c r="E2" s="83"/>
      <c r="F2" s="82" t="s">
        <v>153</v>
      </c>
      <c r="G2" s="82" t="s">
        <v>154</v>
      </c>
      <c r="H2" s="82" t="s">
        <v>155</v>
      </c>
      <c r="I2" s="83"/>
      <c r="J2" s="82" t="s">
        <v>153</v>
      </c>
      <c r="K2" s="82" t="s">
        <v>154</v>
      </c>
      <c r="L2" s="82" t="s">
        <v>155</v>
      </c>
      <c r="M2" s="86"/>
      <c r="N2" s="82" t="s">
        <v>153</v>
      </c>
      <c r="O2" s="82" t="s">
        <v>154</v>
      </c>
      <c r="P2" s="82" t="s">
        <v>155</v>
      </c>
    </row>
    <row r="3" spans="1:16" x14ac:dyDescent="0.45">
      <c r="A3" s="78" t="s">
        <v>246</v>
      </c>
      <c r="B3" s="6">
        <f>CEILING((D8+D9+D5)*0.1,MAX(1024,MAX(Encode!B15,Decode!B14)))</f>
        <v>1024</v>
      </c>
      <c r="C3" s="6">
        <f>IF(B3=0,0,1)</f>
        <v>1</v>
      </c>
      <c r="D3" s="6">
        <f>B3*C3</f>
        <v>1024</v>
      </c>
      <c r="E3" s="7"/>
      <c r="F3" s="6">
        <f>CEILING((H8+H9+H5)*0.1,4)</f>
        <v>47748</v>
      </c>
      <c r="G3" s="6">
        <f>IF(F3=0,0,1)</f>
        <v>1</v>
      </c>
      <c r="H3" s="6">
        <f>F3*G3</f>
        <v>47748</v>
      </c>
      <c r="I3" s="7"/>
      <c r="J3" s="6">
        <f>CEILING((L8+L9+L5)*0.1,4)</f>
        <v>5108</v>
      </c>
      <c r="K3" s="6">
        <f>IF(J3=0,0,1)</f>
        <v>1</v>
      </c>
      <c r="L3" s="6">
        <f>J3*K3</f>
        <v>5108</v>
      </c>
      <c r="M3" s="84"/>
      <c r="N3" s="6">
        <f>CEILING((P8+P9+P5)*0.1,4)</f>
        <v>0</v>
      </c>
      <c r="O3" s="6">
        <f>IF(N3=0,0,1)</f>
        <v>0</v>
      </c>
      <c r="P3" s="6">
        <f>N3*O3</f>
        <v>0</v>
      </c>
    </row>
    <row r="4" spans="1:16" x14ac:dyDescent="0.45">
      <c r="A4" s="78" t="s">
        <v>14</v>
      </c>
      <c r="B4" s="6">
        <f>CEILING(Decode!B21+Decode!B43,4)</f>
        <v>119920</v>
      </c>
      <c r="C4" s="6">
        <f>IF(B4=0,0,1)</f>
        <v>1</v>
      </c>
      <c r="D4" s="6">
        <f>B4*C4</f>
        <v>119920</v>
      </c>
      <c r="E4" s="7"/>
      <c r="F4" s="96">
        <v>0</v>
      </c>
      <c r="G4" s="97">
        <v>0</v>
      </c>
      <c r="H4" s="98">
        <v>0</v>
      </c>
      <c r="I4" s="7"/>
      <c r="J4" s="96">
        <v>0</v>
      </c>
      <c r="K4" s="97">
        <v>0</v>
      </c>
      <c r="L4" s="98">
        <v>0</v>
      </c>
      <c r="M4" s="84"/>
      <c r="N4" s="96">
        <v>0</v>
      </c>
      <c r="O4" s="97">
        <v>0</v>
      </c>
      <c r="P4" s="98">
        <v>0</v>
      </c>
    </row>
    <row r="5" spans="1:16" x14ac:dyDescent="0.45">
      <c r="A5" s="78" t="s">
        <v>15</v>
      </c>
      <c r="B5" s="6">
        <f>IF(AND(Overview!C9=2,(Decode!B22+Decode!B44)&gt;0),MAX(CEILING(Decode!B22+Decode!B44,4),CEILING(Display!C20+Display!C43+Display!C66,4)),CEILING(Decode!B22+Decode!B44,4))</f>
        <v>0</v>
      </c>
      <c r="C5" s="6">
        <f t="shared" ref="C5:C9" si="0">IF(B5=0,0,1)</f>
        <v>0</v>
      </c>
      <c r="D5" s="6">
        <f>B5*C5</f>
        <v>0</v>
      </c>
      <c r="E5" s="7"/>
      <c r="F5" s="6">
        <f>IF(AND(Overview!C9=2,(Decode!F22+Decode!F44)&gt;0),MAX(CEILING(Decode!F22+Decode!F44,4),CEILING(Display!C20+Display!C43+Display!C66,4)),CEILING(Decode!F22+Decode!F44,4))</f>
        <v>449896</v>
      </c>
      <c r="G5" s="6">
        <f>IF(F5=0,0,1)</f>
        <v>1</v>
      </c>
      <c r="H5" s="6">
        <f>F5*G5</f>
        <v>449896</v>
      </c>
      <c r="I5" s="7"/>
      <c r="J5" s="6">
        <f>IF(AND(Overview!C9=2,(Decode!J22+Decode!J44)&gt;0),MAX(CEILING(Decode!J22+Decode!J44,4),CEILING(Display!C20+Display!C43+Display!C66,4)),CEILING(Decode!J22+Decode!J44,4))</f>
        <v>51060</v>
      </c>
      <c r="K5" s="6">
        <f>IF(J5=0,0,1)</f>
        <v>1</v>
      </c>
      <c r="L5" s="6">
        <f>J5*K5</f>
        <v>51060</v>
      </c>
      <c r="M5" s="84"/>
      <c r="N5" s="6">
        <f>IF(AND(Overview!C9=2,(Decode!N22+Decode!N44)&gt;0),MAX(CEILING(Decode!N22+Decode!N44,4),CEILING(Display!C20+Display!C43+Display!C66,4)),CEILING(Decode!N22+Decode!N44,4))</f>
        <v>0</v>
      </c>
      <c r="O5" s="6">
        <f>IF(N5=0,0,1)</f>
        <v>0</v>
      </c>
      <c r="P5" s="6">
        <f>N5*O5</f>
        <v>0</v>
      </c>
    </row>
    <row r="6" spans="1:16" x14ac:dyDescent="0.45">
      <c r="A6" s="78" t="s">
        <v>247</v>
      </c>
      <c r="B6" s="6">
        <f>CEILING(Decode!B23+Decode!B45,4)</f>
        <v>0</v>
      </c>
      <c r="C6" s="6">
        <f t="shared" si="0"/>
        <v>0</v>
      </c>
      <c r="D6" s="6">
        <f>B6*C6</f>
        <v>0</v>
      </c>
      <c r="E6" s="7"/>
      <c r="F6" s="6">
        <f>CEILING(Decode!F23+Decode!F45,4)</f>
        <v>101184</v>
      </c>
      <c r="G6" s="6">
        <f>IF(F6=0,0,1)</f>
        <v>1</v>
      </c>
      <c r="H6" s="6">
        <f>F6*G6</f>
        <v>101184</v>
      </c>
      <c r="I6" s="7"/>
      <c r="J6" s="6">
        <f>CEILING(Decode!J23+Decode!J45,4)</f>
        <v>5696</v>
      </c>
      <c r="K6" s="6">
        <f>IF(J6=0,0,1)</f>
        <v>1</v>
      </c>
      <c r="L6" s="6">
        <f>J6*K6</f>
        <v>5696</v>
      </c>
      <c r="M6" s="84"/>
      <c r="N6" s="6">
        <f>CEILING(Decode!N23+Decode!N45,4)</f>
        <v>0</v>
      </c>
      <c r="O6" s="6">
        <f>IF(N6=0,0,1)</f>
        <v>0</v>
      </c>
      <c r="P6" s="6">
        <f>N6*O6</f>
        <v>0</v>
      </c>
    </row>
    <row r="7" spans="1:16" x14ac:dyDescent="0.45">
      <c r="A7" s="78" t="s">
        <v>22</v>
      </c>
      <c r="B7" s="6">
        <f>CEILING(MAX(Decode!B18,Decode!B40),4)</f>
        <v>0</v>
      </c>
      <c r="C7" s="6">
        <f t="shared" si="0"/>
        <v>0</v>
      </c>
      <c r="D7" s="6">
        <f t="shared" ref="D7" si="1">B7*C7</f>
        <v>0</v>
      </c>
      <c r="E7" s="7"/>
      <c r="F7" s="6">
        <f>CEILING(MAX(Decode!F18,Decode!F40),4)</f>
        <v>14840</v>
      </c>
      <c r="G7" s="6">
        <f>IF(F7=0,0,1)</f>
        <v>1</v>
      </c>
      <c r="H7" s="6">
        <f t="shared" ref="H7" si="2">F7*G7</f>
        <v>14840</v>
      </c>
      <c r="I7" s="7"/>
      <c r="J7" s="6">
        <f>CEILING(MAX(Decode!J18,Decode!J40),4)</f>
        <v>14840</v>
      </c>
      <c r="K7" s="6">
        <f>IF(J7=0,0,1)</f>
        <v>1</v>
      </c>
      <c r="L7" s="6">
        <f t="shared" ref="L7" si="3">J7*K7</f>
        <v>14840</v>
      </c>
      <c r="M7" s="84"/>
      <c r="N7" s="6">
        <f>CEILING(MAX(Decode!N18,Decode!N40),4)</f>
        <v>0</v>
      </c>
      <c r="O7" s="6">
        <f>IF(N7=0,0,1)</f>
        <v>0</v>
      </c>
      <c r="P7" s="6">
        <f t="shared" ref="P7" si="4">N7*O7</f>
        <v>0</v>
      </c>
    </row>
    <row r="8" spans="1:16" x14ac:dyDescent="0.45">
      <c r="A8" s="78" t="s">
        <v>12</v>
      </c>
      <c r="B8" s="6">
        <f>IF(Overview!C3="NVR",0,CEILING(Encode!B16+Encode!B37+Encode!B58,4))</f>
        <v>0</v>
      </c>
      <c r="C8" s="6">
        <f t="shared" si="0"/>
        <v>0</v>
      </c>
      <c r="D8" s="6">
        <f t="shared" ref="D8:D30" si="5">B8*C8</f>
        <v>0</v>
      </c>
      <c r="E8" s="7"/>
      <c r="F8" s="6">
        <f>CEILING(Encode!F16+Encode!F37+Encode!F58,4)</f>
        <v>27552</v>
      </c>
      <c r="G8" s="6">
        <f>IF(F8=0,0,1)</f>
        <v>1</v>
      </c>
      <c r="H8" s="6">
        <f t="shared" ref="H8:H16" si="6">F8*G8</f>
        <v>27552</v>
      </c>
      <c r="I8" s="7"/>
      <c r="J8" s="6">
        <f>CEILING(Encode!J16+Encode!J37+Encode!J58,4)</f>
        <v>0</v>
      </c>
      <c r="K8" s="6">
        <f>IF(J8=0,0,1)</f>
        <v>0</v>
      </c>
      <c r="L8" s="6">
        <f t="shared" ref="L8:L16" si="7">J8*K8</f>
        <v>0</v>
      </c>
      <c r="M8" s="84"/>
      <c r="N8" s="6">
        <f>CEILING(Encode!N16+Encode!N37+Encode!N58,4)</f>
        <v>0</v>
      </c>
      <c r="O8" s="6">
        <f>IF(N8=0,0,1)</f>
        <v>0</v>
      </c>
      <c r="P8" s="6">
        <f t="shared" ref="P8:P16" si="8">N8*O8</f>
        <v>0</v>
      </c>
    </row>
    <row r="9" spans="1:16" x14ac:dyDescent="0.45">
      <c r="A9" s="78" t="s">
        <v>13</v>
      </c>
      <c r="B9" s="6">
        <f>CEILING(Encode!B17+Encode!B38+Encode!B59+DispEncode!B15,4)</f>
        <v>7784</v>
      </c>
      <c r="C9" s="6">
        <f t="shared" si="0"/>
        <v>1</v>
      </c>
      <c r="D9" s="6">
        <f t="shared" si="5"/>
        <v>7784</v>
      </c>
      <c r="E9" s="7"/>
      <c r="F9" s="106">
        <v>0</v>
      </c>
      <c r="G9" s="107">
        <v>0</v>
      </c>
      <c r="H9" s="108">
        <v>0</v>
      </c>
      <c r="I9" s="7"/>
      <c r="J9" s="106">
        <v>0</v>
      </c>
      <c r="K9" s="100">
        <v>0</v>
      </c>
      <c r="L9" s="108">
        <v>0</v>
      </c>
      <c r="M9" s="84"/>
      <c r="N9" s="106">
        <v>0</v>
      </c>
      <c r="O9" s="107">
        <v>0</v>
      </c>
      <c r="P9" s="108">
        <v>0</v>
      </c>
    </row>
    <row r="10" spans="1:16" x14ac:dyDescent="0.45">
      <c r="A10" s="78" t="s">
        <v>248</v>
      </c>
      <c r="B10" s="6">
        <f>Encode!B18</f>
        <v>0</v>
      </c>
      <c r="C10" s="6">
        <f>Encode!B19</f>
        <v>0</v>
      </c>
      <c r="D10" s="6">
        <f t="shared" si="5"/>
        <v>0</v>
      </c>
      <c r="E10" s="7"/>
      <c r="F10" s="6">
        <f>Encode!F18</f>
        <v>3368</v>
      </c>
      <c r="G10" s="6">
        <f>Encode!F19</f>
        <v>4</v>
      </c>
      <c r="H10" s="6">
        <f t="shared" si="6"/>
        <v>13472</v>
      </c>
      <c r="I10" s="7"/>
      <c r="J10" s="6">
        <f>Encode!J18</f>
        <v>0</v>
      </c>
      <c r="K10" s="6">
        <f>Encode!J19</f>
        <v>0</v>
      </c>
      <c r="L10" s="6">
        <f t="shared" si="7"/>
        <v>0</v>
      </c>
      <c r="M10" s="84"/>
      <c r="N10" s="6">
        <f>Encode!N18</f>
        <v>0</v>
      </c>
      <c r="O10" s="6">
        <f>Encode!N19</f>
        <v>0</v>
      </c>
      <c r="P10" s="6">
        <f t="shared" si="8"/>
        <v>0</v>
      </c>
    </row>
    <row r="11" spans="1:16" x14ac:dyDescent="0.45">
      <c r="A11" s="78" t="s">
        <v>249</v>
      </c>
      <c r="B11" s="6">
        <f>Encode!B21</f>
        <v>0</v>
      </c>
      <c r="C11" s="6">
        <f>Encode!B22</f>
        <v>0</v>
      </c>
      <c r="D11" s="6">
        <f t="shared" si="5"/>
        <v>0</v>
      </c>
      <c r="E11" s="7"/>
      <c r="F11" s="6">
        <f>Encode!F21</f>
        <v>2328</v>
      </c>
      <c r="G11" s="6">
        <f>Encode!F22</f>
        <v>4</v>
      </c>
      <c r="H11" s="6">
        <f t="shared" si="6"/>
        <v>9312</v>
      </c>
      <c r="I11" s="7"/>
      <c r="J11" s="6">
        <f>Encode!J21</f>
        <v>0</v>
      </c>
      <c r="K11" s="6">
        <f>Encode!J22</f>
        <v>0</v>
      </c>
      <c r="L11" s="6">
        <f t="shared" si="7"/>
        <v>0</v>
      </c>
      <c r="M11" s="84"/>
      <c r="N11" s="6">
        <f>Encode!N21</f>
        <v>0</v>
      </c>
      <c r="O11" s="6">
        <f>Encode!N22</f>
        <v>0</v>
      </c>
      <c r="P11" s="6">
        <f t="shared" si="8"/>
        <v>0</v>
      </c>
    </row>
    <row r="12" spans="1:16" x14ac:dyDescent="0.45">
      <c r="A12" s="78" t="s">
        <v>177</v>
      </c>
      <c r="B12" s="6">
        <f>Encode!B39</f>
        <v>0</v>
      </c>
      <c r="C12" s="6">
        <f>Encode!B40</f>
        <v>0</v>
      </c>
      <c r="D12" s="6">
        <f t="shared" si="5"/>
        <v>0</v>
      </c>
      <c r="E12" s="7"/>
      <c r="F12" s="6">
        <f>Encode!F39</f>
        <v>0</v>
      </c>
      <c r="G12" s="6">
        <f>Encode!F40</f>
        <v>0</v>
      </c>
      <c r="H12" s="6">
        <f t="shared" si="6"/>
        <v>0</v>
      </c>
      <c r="I12" s="7"/>
      <c r="J12" s="6">
        <f>Encode!J39</f>
        <v>0</v>
      </c>
      <c r="K12" s="6">
        <f>Encode!J40</f>
        <v>0</v>
      </c>
      <c r="L12" s="6">
        <f t="shared" si="7"/>
        <v>0</v>
      </c>
      <c r="M12" s="84"/>
      <c r="N12" s="6">
        <f>Encode!N39</f>
        <v>0</v>
      </c>
      <c r="O12" s="6">
        <f>Encode!N40</f>
        <v>0</v>
      </c>
      <c r="P12" s="6">
        <f t="shared" si="8"/>
        <v>0</v>
      </c>
    </row>
    <row r="13" spans="1:16" x14ac:dyDescent="0.45">
      <c r="A13" s="78" t="s">
        <v>250</v>
      </c>
      <c r="B13" s="6">
        <f>Encode!B42</f>
        <v>0</v>
      </c>
      <c r="C13" s="6">
        <f>Encode!B43</f>
        <v>0</v>
      </c>
      <c r="D13" s="6">
        <f t="shared" si="5"/>
        <v>0</v>
      </c>
      <c r="E13" s="7"/>
      <c r="F13" s="6">
        <f>Encode!F42</f>
        <v>0</v>
      </c>
      <c r="G13" s="6">
        <f>Encode!F43</f>
        <v>0</v>
      </c>
      <c r="H13" s="6">
        <f t="shared" si="6"/>
        <v>0</v>
      </c>
      <c r="I13" s="7"/>
      <c r="J13" s="6">
        <f>Encode!J42</f>
        <v>0</v>
      </c>
      <c r="K13" s="6">
        <f>Encode!J43</f>
        <v>0</v>
      </c>
      <c r="L13" s="6">
        <f t="shared" si="7"/>
        <v>0</v>
      </c>
      <c r="M13" s="84"/>
      <c r="N13" s="6">
        <f>Encode!N42</f>
        <v>0</v>
      </c>
      <c r="O13" s="6">
        <f>Encode!N43</f>
        <v>0</v>
      </c>
      <c r="P13" s="6">
        <f t="shared" si="8"/>
        <v>0</v>
      </c>
    </row>
    <row r="14" spans="1:16" x14ac:dyDescent="0.45">
      <c r="A14" s="78" t="s">
        <v>178</v>
      </c>
      <c r="B14" s="6">
        <f>MAX(Encode!B60,DispEncode!B16)</f>
        <v>3368</v>
      </c>
      <c r="C14" s="6">
        <f>MAX(Encode!B61,DispEncode!B17)</f>
        <v>1</v>
      </c>
      <c r="D14" s="6">
        <f t="shared" si="5"/>
        <v>3368</v>
      </c>
      <c r="E14" s="7"/>
      <c r="F14" s="6">
        <f>Encode!F60</f>
        <v>0</v>
      </c>
      <c r="G14" s="6">
        <f>Encode!F61</f>
        <v>0</v>
      </c>
      <c r="H14" s="6">
        <f t="shared" si="6"/>
        <v>0</v>
      </c>
      <c r="I14" s="7"/>
      <c r="J14" s="6">
        <f>Encode!J60</f>
        <v>0</v>
      </c>
      <c r="K14" s="6">
        <f>Encode!J61</f>
        <v>0</v>
      </c>
      <c r="L14" s="6">
        <f t="shared" si="7"/>
        <v>0</v>
      </c>
      <c r="M14" s="84"/>
      <c r="N14" s="6">
        <f>Encode!N60</f>
        <v>0</v>
      </c>
      <c r="O14" s="6">
        <f>Encode!N61</f>
        <v>0</v>
      </c>
      <c r="P14" s="6">
        <f t="shared" si="8"/>
        <v>0</v>
      </c>
    </row>
    <row r="15" spans="1:16" x14ac:dyDescent="0.45">
      <c r="A15" s="78" t="s">
        <v>251</v>
      </c>
      <c r="B15" s="6">
        <f>Encode!B63</f>
        <v>0</v>
      </c>
      <c r="C15" s="6">
        <f>Encode!B64</f>
        <v>0</v>
      </c>
      <c r="D15" s="6">
        <f t="shared" si="5"/>
        <v>0</v>
      </c>
      <c r="E15" s="7"/>
      <c r="F15" s="6">
        <f>Encode!F63</f>
        <v>0</v>
      </c>
      <c r="G15" s="6">
        <f>Encode!F64</f>
        <v>0</v>
      </c>
      <c r="H15" s="6">
        <f t="shared" si="6"/>
        <v>0</v>
      </c>
      <c r="I15" s="7"/>
      <c r="J15" s="6">
        <f>Encode!J63</f>
        <v>0</v>
      </c>
      <c r="K15" s="6">
        <f>Encode!J64</f>
        <v>0</v>
      </c>
      <c r="L15" s="6">
        <f t="shared" si="7"/>
        <v>0</v>
      </c>
      <c r="M15" s="84"/>
      <c r="N15" s="6">
        <f>Encode!N63</f>
        <v>0</v>
      </c>
      <c r="O15" s="6">
        <f>Encode!N64</f>
        <v>0</v>
      </c>
      <c r="P15" s="6">
        <f t="shared" si="8"/>
        <v>0</v>
      </c>
    </row>
    <row r="16" spans="1:16" x14ac:dyDescent="0.45">
      <c r="A16" s="78" t="s">
        <v>19</v>
      </c>
      <c r="B16" s="6">
        <f>CEILING(IF(Overview!C120=1,DispEncode!B14,0)+Encode!B73,4)</f>
        <v>9116</v>
      </c>
      <c r="C16" s="6">
        <f t="shared" ref="C16:C17" si="9">IF(B16=0,0,1)</f>
        <v>1</v>
      </c>
      <c r="D16" s="6">
        <f>B16*C16</f>
        <v>9116</v>
      </c>
      <c r="E16" s="7"/>
      <c r="F16" s="87">
        <f>CEILING(IF(Overview!C120=2,DispEncode!B14,0)+Encode!F73,4)</f>
        <v>36480</v>
      </c>
      <c r="G16" s="6">
        <f t="shared" ref="G16:G17" si="10">IF(F16=0,0,1)</f>
        <v>1</v>
      </c>
      <c r="H16" s="87">
        <f t="shared" si="6"/>
        <v>36480</v>
      </c>
      <c r="I16" s="7"/>
      <c r="J16" s="6">
        <f>CEILING(Encode!J73,4)</f>
        <v>0</v>
      </c>
      <c r="K16" s="6">
        <f t="shared" ref="K16:K17" si="11">IF(J16=0,0,1)</f>
        <v>0</v>
      </c>
      <c r="L16" s="6">
        <f t="shared" si="7"/>
        <v>0</v>
      </c>
      <c r="M16" s="84"/>
      <c r="N16" s="6">
        <f>CEILING(Encode!N73,4)</f>
        <v>0</v>
      </c>
      <c r="O16" s="6">
        <f t="shared" ref="O16:O17" si="12">IF(N16=0,0,1)</f>
        <v>0</v>
      </c>
      <c r="P16" s="6">
        <f t="shared" si="8"/>
        <v>0</v>
      </c>
    </row>
    <row r="17" spans="1:16" x14ac:dyDescent="0.45">
      <c r="A17" s="78" t="s">
        <v>252</v>
      </c>
      <c r="B17" s="6">
        <f>IF(Overview!C3="NVR",0,IF(Overview!C9=2,0,CEILING(Display!C20,4)))</f>
        <v>0</v>
      </c>
      <c r="C17" s="6">
        <f t="shared" si="9"/>
        <v>0</v>
      </c>
      <c r="D17" s="6">
        <f>B17*C17</f>
        <v>0</v>
      </c>
      <c r="E17" s="7"/>
      <c r="F17" s="6">
        <f>B17</f>
        <v>0</v>
      </c>
      <c r="G17" s="6">
        <f t="shared" si="10"/>
        <v>0</v>
      </c>
      <c r="H17" s="6">
        <f>F17*G17</f>
        <v>0</v>
      </c>
      <c r="I17" s="7"/>
      <c r="J17" s="6">
        <f>B17</f>
        <v>0</v>
      </c>
      <c r="K17" s="6">
        <f t="shared" si="11"/>
        <v>0</v>
      </c>
      <c r="L17" s="6">
        <f>J17*K17</f>
        <v>0</v>
      </c>
      <c r="M17" s="84"/>
      <c r="N17" s="6">
        <f>B17</f>
        <v>0</v>
      </c>
      <c r="O17" s="6">
        <f t="shared" si="12"/>
        <v>0</v>
      </c>
      <c r="P17" s="6">
        <f>N17*O17</f>
        <v>0</v>
      </c>
    </row>
    <row r="18" spans="1:16" x14ac:dyDescent="0.45">
      <c r="A18" s="78" t="s">
        <v>7</v>
      </c>
      <c r="B18" s="6">
        <f>IF(Overview!C8=1,CEILING(Display!C21,4),0)</f>
        <v>0</v>
      </c>
      <c r="C18" s="6">
        <f>IF(B18=0,0,1)</f>
        <v>0</v>
      </c>
      <c r="D18" s="6">
        <f t="shared" si="5"/>
        <v>0</v>
      </c>
      <c r="E18" s="7"/>
      <c r="F18" s="6">
        <f>IF(Overview!C8=2,CEILING(Display!C21,4),0)</f>
        <v>48600</v>
      </c>
      <c r="G18" s="6">
        <f>IF(F18=0,0,1)</f>
        <v>1</v>
      </c>
      <c r="H18" s="6">
        <f t="shared" ref="H18:H19" si="13">F18*G18</f>
        <v>48600</v>
      </c>
      <c r="I18" s="7"/>
      <c r="J18" s="99">
        <v>0</v>
      </c>
      <c r="K18" s="100">
        <v>0</v>
      </c>
      <c r="L18" s="101">
        <v>0</v>
      </c>
      <c r="M18" s="84"/>
      <c r="N18" s="99">
        <v>0</v>
      </c>
      <c r="O18" s="100">
        <v>0</v>
      </c>
      <c r="P18" s="101">
        <v>0</v>
      </c>
    </row>
    <row r="19" spans="1:16" x14ac:dyDescent="0.45">
      <c r="A19" s="78" t="s">
        <v>166</v>
      </c>
      <c r="B19" s="6">
        <f>IF(Overview!C8=1,CEILING(Display!C22+Display!C23+Display!C24,4),0)</f>
        <v>0</v>
      </c>
      <c r="C19" s="6">
        <f t="shared" ref="C19:C27" si="14">IF(B19=0,0,1)</f>
        <v>0</v>
      </c>
      <c r="D19" s="6">
        <f t="shared" si="5"/>
        <v>0</v>
      </c>
      <c r="E19" s="7"/>
      <c r="F19" s="6">
        <f>IF(Overview!C8=2,CEILING(Display!C22+Display!C23+Display!C24,4),0)</f>
        <v>16320</v>
      </c>
      <c r="G19" s="6">
        <f t="shared" ref="G19" si="15">IF(F19=0,0,1)</f>
        <v>1</v>
      </c>
      <c r="H19" s="6">
        <f t="shared" si="13"/>
        <v>16320</v>
      </c>
      <c r="I19" s="7"/>
      <c r="J19" s="99">
        <v>0</v>
      </c>
      <c r="K19" s="100">
        <v>0</v>
      </c>
      <c r="L19" s="101">
        <v>0</v>
      </c>
      <c r="M19" s="84"/>
      <c r="N19" s="99">
        <v>0</v>
      </c>
      <c r="O19" s="100">
        <v>0</v>
      </c>
      <c r="P19" s="101">
        <v>0</v>
      </c>
    </row>
    <row r="20" spans="1:16" x14ac:dyDescent="0.45">
      <c r="A20" s="78" t="s">
        <v>10</v>
      </c>
      <c r="B20" s="6">
        <f>IF(Overview!C3="NVR",0,IF(Overview!C24=2,0,CEILING(Display!C43,4)))</f>
        <v>0</v>
      </c>
      <c r="C20" s="6">
        <f t="shared" si="14"/>
        <v>0</v>
      </c>
      <c r="D20" s="6">
        <f t="shared" si="5"/>
        <v>0</v>
      </c>
      <c r="E20" s="7"/>
      <c r="F20" s="6">
        <f>B20</f>
        <v>0</v>
      </c>
      <c r="G20" s="6">
        <f t="shared" ref="G20:G22" si="16">IF(F20=0,0,1)</f>
        <v>0</v>
      </c>
      <c r="H20" s="6">
        <f t="shared" ref="H20:H22" si="17">F20*G20</f>
        <v>0</v>
      </c>
      <c r="I20" s="7"/>
      <c r="J20" s="6">
        <f>B20</f>
        <v>0</v>
      </c>
      <c r="K20" s="6">
        <f t="shared" ref="K20" si="18">IF(J20=0,0,1)</f>
        <v>0</v>
      </c>
      <c r="L20" s="6">
        <f t="shared" ref="L20" si="19">J20*K20</f>
        <v>0</v>
      </c>
      <c r="M20" s="84"/>
      <c r="N20" s="6">
        <f>B20</f>
        <v>0</v>
      </c>
      <c r="O20" s="6">
        <f t="shared" ref="O20" si="20">IF(N20=0,0,1)</f>
        <v>0</v>
      </c>
      <c r="P20" s="6">
        <f t="shared" ref="P20" si="21">N20*O20</f>
        <v>0</v>
      </c>
    </row>
    <row r="21" spans="1:16" x14ac:dyDescent="0.45">
      <c r="A21" s="78" t="s">
        <v>8</v>
      </c>
      <c r="B21" s="6">
        <f>IF(Overview!C23=1,CEILING(Display!C44,4),0)</f>
        <v>0</v>
      </c>
      <c r="C21" s="6">
        <f t="shared" si="14"/>
        <v>0</v>
      </c>
      <c r="D21" s="6">
        <f t="shared" si="5"/>
        <v>0</v>
      </c>
      <c r="E21" s="7"/>
      <c r="F21" s="6">
        <f>IF(Overview!C23=2,CEILING(Display!C44,4),0)</f>
        <v>12240</v>
      </c>
      <c r="G21" s="6">
        <f t="shared" si="16"/>
        <v>1</v>
      </c>
      <c r="H21" s="6">
        <f t="shared" si="17"/>
        <v>12240</v>
      </c>
      <c r="I21" s="7"/>
      <c r="J21" s="99">
        <v>0</v>
      </c>
      <c r="K21" s="100">
        <v>0</v>
      </c>
      <c r="L21" s="101">
        <v>0</v>
      </c>
      <c r="M21" s="84"/>
      <c r="N21" s="99">
        <v>0</v>
      </c>
      <c r="O21" s="100">
        <v>0</v>
      </c>
      <c r="P21" s="101">
        <v>0</v>
      </c>
    </row>
    <row r="22" spans="1:16" x14ac:dyDescent="0.45">
      <c r="A22" s="78" t="s">
        <v>365</v>
      </c>
      <c r="B22" s="6">
        <f>IF(Overview!C23=1,CEILING(Display!C45+Display!C46+Display!C47,4),0)</f>
        <v>0</v>
      </c>
      <c r="C22" s="6">
        <f t="shared" si="14"/>
        <v>0</v>
      </c>
      <c r="D22" s="6">
        <f t="shared" si="5"/>
        <v>0</v>
      </c>
      <c r="E22" s="7"/>
      <c r="F22" s="6">
        <f>IF(Overview!C23=2,CEILING(Display!C45+Display!C46+Display!C47,4),0)</f>
        <v>8160</v>
      </c>
      <c r="G22" s="6">
        <f t="shared" si="16"/>
        <v>1</v>
      </c>
      <c r="H22" s="6">
        <f t="shared" si="17"/>
        <v>8160</v>
      </c>
      <c r="I22" s="7"/>
      <c r="J22" s="99">
        <v>0</v>
      </c>
      <c r="K22" s="100">
        <v>0</v>
      </c>
      <c r="L22" s="101">
        <v>0</v>
      </c>
      <c r="M22" s="84"/>
      <c r="N22" s="99">
        <v>0</v>
      </c>
      <c r="O22" s="100">
        <v>0</v>
      </c>
      <c r="P22" s="101">
        <v>0</v>
      </c>
    </row>
    <row r="23" spans="1:16" x14ac:dyDescent="0.45">
      <c r="A23" s="78" t="s">
        <v>11</v>
      </c>
      <c r="B23" s="6">
        <f>IF(Overview!C3="NVR",0,IF(Overview!C39=2,0,CEILING(Display!C66,4)))</f>
        <v>0</v>
      </c>
      <c r="C23" s="6">
        <f t="shared" si="14"/>
        <v>0</v>
      </c>
      <c r="D23" s="6">
        <f t="shared" si="5"/>
        <v>0</v>
      </c>
      <c r="E23" s="7"/>
      <c r="F23" s="6">
        <f>B23</f>
        <v>0</v>
      </c>
      <c r="G23" s="6">
        <f t="shared" ref="G23:G25" si="22">IF(F23=0,0,1)</f>
        <v>0</v>
      </c>
      <c r="H23" s="6">
        <f t="shared" ref="H23:H25" si="23">F23*G23</f>
        <v>0</v>
      </c>
      <c r="I23" s="7"/>
      <c r="J23" s="6">
        <f>B23</f>
        <v>0</v>
      </c>
      <c r="K23" s="6">
        <f t="shared" ref="K23" si="24">IF(J23=0,0,1)</f>
        <v>0</v>
      </c>
      <c r="L23" s="6">
        <f t="shared" ref="L23" si="25">J23*K23</f>
        <v>0</v>
      </c>
      <c r="M23" s="84"/>
      <c r="N23" s="6">
        <f>B23</f>
        <v>0</v>
      </c>
      <c r="O23" s="6">
        <f t="shared" ref="O23" si="26">IF(N23=0,0,1)</f>
        <v>0</v>
      </c>
      <c r="P23" s="6">
        <f t="shared" ref="P23" si="27">N23*O23</f>
        <v>0</v>
      </c>
    </row>
    <row r="24" spans="1:16" x14ac:dyDescent="0.45">
      <c r="A24" s="78" t="s">
        <v>9</v>
      </c>
      <c r="B24" s="6">
        <f>IF(Overview!C38=1,CEILING(Display!C67,4),0)</f>
        <v>0</v>
      </c>
      <c r="C24" s="6">
        <f t="shared" si="14"/>
        <v>0</v>
      </c>
      <c r="D24" s="6">
        <f t="shared" si="5"/>
        <v>0</v>
      </c>
      <c r="E24" s="7"/>
      <c r="F24" s="6">
        <f>IF(Overview!C38=2,CEILING(Display!C67,4),0)</f>
        <v>3240</v>
      </c>
      <c r="G24" s="6">
        <f t="shared" si="22"/>
        <v>1</v>
      </c>
      <c r="H24" s="6">
        <f t="shared" si="23"/>
        <v>3240</v>
      </c>
      <c r="I24" s="7"/>
      <c r="J24" s="99">
        <v>0</v>
      </c>
      <c r="K24" s="100">
        <v>0</v>
      </c>
      <c r="L24" s="101">
        <v>0</v>
      </c>
      <c r="M24" s="84"/>
      <c r="N24" s="99">
        <v>0</v>
      </c>
      <c r="O24" s="100">
        <v>0</v>
      </c>
      <c r="P24" s="101">
        <v>0</v>
      </c>
    </row>
    <row r="25" spans="1:16" x14ac:dyDescent="0.45">
      <c r="A25" s="78" t="s">
        <v>253</v>
      </c>
      <c r="B25" s="6">
        <f>IF(Overview!C38=1,CEILING(Display!C68+Display!C69+Display!C70,4),0)</f>
        <v>0</v>
      </c>
      <c r="C25" s="6">
        <f t="shared" si="14"/>
        <v>0</v>
      </c>
      <c r="D25" s="6">
        <f t="shared" si="5"/>
        <v>0</v>
      </c>
      <c r="E25" s="7"/>
      <c r="F25" s="6">
        <f>IF(Overview!C38=2,CEILING(Display!C68+Display!C69+Display!C70,4),0)</f>
        <v>812</v>
      </c>
      <c r="G25" s="6">
        <f t="shared" si="22"/>
        <v>1</v>
      </c>
      <c r="H25" s="6">
        <f t="shared" si="23"/>
        <v>812</v>
      </c>
      <c r="I25" s="7"/>
      <c r="J25" s="99">
        <v>0</v>
      </c>
      <c r="K25" s="100">
        <v>0</v>
      </c>
      <c r="L25" s="101">
        <v>0</v>
      </c>
      <c r="M25" s="84"/>
      <c r="N25" s="99">
        <v>0</v>
      </c>
      <c r="O25" s="100">
        <v>0</v>
      </c>
      <c r="P25" s="101">
        <v>0</v>
      </c>
    </row>
    <row r="26" spans="1:16" x14ac:dyDescent="0.45">
      <c r="A26" s="78" t="s">
        <v>16</v>
      </c>
      <c r="B26" s="6">
        <f>CEILING(Audio!B10,4)</f>
        <v>0</v>
      </c>
      <c r="C26" s="6">
        <f t="shared" si="14"/>
        <v>0</v>
      </c>
      <c r="D26" s="6">
        <f t="shared" si="5"/>
        <v>0</v>
      </c>
      <c r="E26" s="7"/>
      <c r="F26" s="99">
        <v>0</v>
      </c>
      <c r="G26" s="100">
        <v>0</v>
      </c>
      <c r="H26" s="101">
        <v>0</v>
      </c>
      <c r="I26" s="7"/>
      <c r="J26" s="99">
        <v>0</v>
      </c>
      <c r="K26" s="100">
        <v>0</v>
      </c>
      <c r="L26" s="101">
        <v>0</v>
      </c>
      <c r="M26" s="84"/>
      <c r="N26" s="99">
        <v>0</v>
      </c>
      <c r="O26" s="100">
        <v>0</v>
      </c>
      <c r="P26" s="101">
        <v>0</v>
      </c>
    </row>
    <row r="27" spans="1:16" x14ac:dyDescent="0.45">
      <c r="A27" s="78" t="s">
        <v>17</v>
      </c>
      <c r="B27" s="6">
        <f>CEILING(Audio!B18,4)</f>
        <v>60</v>
      </c>
      <c r="C27" s="6">
        <f t="shared" si="14"/>
        <v>1</v>
      </c>
      <c r="D27" s="6">
        <f t="shared" si="5"/>
        <v>60</v>
      </c>
      <c r="E27" s="7"/>
      <c r="F27" s="102">
        <v>0</v>
      </c>
      <c r="G27" s="103">
        <v>0</v>
      </c>
      <c r="H27" s="104">
        <v>0</v>
      </c>
      <c r="I27" s="7"/>
      <c r="J27" s="102">
        <v>0</v>
      </c>
      <c r="K27" s="103">
        <v>0</v>
      </c>
      <c r="L27" s="104">
        <v>0</v>
      </c>
      <c r="M27" s="84"/>
      <c r="N27" s="102">
        <v>0</v>
      </c>
      <c r="O27" s="103">
        <v>0</v>
      </c>
      <c r="P27" s="104">
        <v>0</v>
      </c>
    </row>
    <row r="28" spans="1:16" x14ac:dyDescent="0.45">
      <c r="A28" s="78" t="s">
        <v>23</v>
      </c>
      <c r="B28" s="6">
        <f>CEILING(MotionDetection!B9,4)</f>
        <v>0</v>
      </c>
      <c r="C28" s="6">
        <f>MotionDetection!B10</f>
        <v>0</v>
      </c>
      <c r="D28" s="6">
        <f t="shared" si="5"/>
        <v>0</v>
      </c>
      <c r="E28" s="7"/>
      <c r="F28" s="6">
        <f>MotionDetection!F9</f>
        <v>296</v>
      </c>
      <c r="G28" s="6">
        <f>MotionDetection!F10</f>
        <v>4</v>
      </c>
      <c r="H28" s="88">
        <f t="shared" ref="H28:H32" si="28">F28*G28</f>
        <v>1184</v>
      </c>
      <c r="I28" s="7"/>
      <c r="J28" s="6">
        <f>MotionDetection!J9</f>
        <v>0</v>
      </c>
      <c r="K28" s="6">
        <f>MotionDetection!J10</f>
        <v>0</v>
      </c>
      <c r="L28" s="88">
        <f t="shared" ref="L28:L32" si="29">J28*K28</f>
        <v>0</v>
      </c>
      <c r="M28" s="84"/>
      <c r="N28" s="6">
        <f>MotionDetection!N9</f>
        <v>0</v>
      </c>
      <c r="O28" s="6">
        <f>MotionDetection!N10</f>
        <v>0</v>
      </c>
      <c r="P28" s="88">
        <f t="shared" ref="P28:P32" si="30">N28*O28</f>
        <v>0</v>
      </c>
    </row>
    <row r="29" spans="1:16" x14ac:dyDescent="0.45">
      <c r="A29" s="78" t="s">
        <v>254</v>
      </c>
      <c r="B29" s="6">
        <v>1024</v>
      </c>
      <c r="C29" s="6">
        <f>OR(C5,C17)*(Encode!B4+Encode!B25+Encode!F4+Encode!F25)</f>
        <v>0</v>
      </c>
      <c r="D29" s="6">
        <f t="shared" si="5"/>
        <v>0</v>
      </c>
      <c r="E29" s="7"/>
      <c r="F29" s="6">
        <f>B29</f>
        <v>1024</v>
      </c>
      <c r="G29" s="6">
        <f>OR(G5,G17)*(Encode!B4+Encode!B25+Encode!F4+Encode!F25)</f>
        <v>4</v>
      </c>
      <c r="H29" s="6">
        <f t="shared" si="28"/>
        <v>4096</v>
      </c>
      <c r="I29" s="7"/>
      <c r="J29" s="6">
        <f>B29</f>
        <v>1024</v>
      </c>
      <c r="K29" s="6">
        <f>OR(K5,K17)*(Encode!J4+Encode!J25+Encode!N4+Encode!N25)*(Overview!C2="636+")</f>
        <v>0</v>
      </c>
      <c r="L29" s="6">
        <f t="shared" si="29"/>
        <v>0</v>
      </c>
      <c r="M29" s="84"/>
      <c r="N29" s="6">
        <f>B29</f>
        <v>1024</v>
      </c>
      <c r="O29" s="6">
        <f>OR(O5,O17)*(Encode!J4+Encode!J25+Encode!N4+Encode!N25)*(Overview!C2="636+")</f>
        <v>0</v>
      </c>
      <c r="P29" s="6">
        <f t="shared" si="30"/>
        <v>0</v>
      </c>
    </row>
    <row r="30" spans="1:16" x14ac:dyDescent="0.45">
      <c r="A30" s="78" t="s">
        <v>255</v>
      </c>
      <c r="B30" s="6">
        <f>Overview!C140</f>
        <v>327680</v>
      </c>
      <c r="C30" s="6">
        <f t="shared" ref="C30:C32" si="31">IF(B30=0,0,1)</f>
        <v>1</v>
      </c>
      <c r="D30" s="6">
        <f t="shared" si="5"/>
        <v>327680</v>
      </c>
      <c r="E30" s="7"/>
      <c r="F30" s="6">
        <f>Overview!G140</f>
        <v>0</v>
      </c>
      <c r="G30" s="6">
        <f t="shared" ref="G30:G32" si="32">IF(F30=0,0,1)</f>
        <v>0</v>
      </c>
      <c r="H30" s="6">
        <f t="shared" si="28"/>
        <v>0</v>
      </c>
      <c r="I30" s="7"/>
      <c r="J30" s="6">
        <f>Overview!K140</f>
        <v>40960</v>
      </c>
      <c r="K30" s="6">
        <f t="shared" ref="K30:K32" si="33">IF(J30=0,0,1)</f>
        <v>1</v>
      </c>
      <c r="L30" s="6">
        <f t="shared" si="29"/>
        <v>40960</v>
      </c>
      <c r="M30" s="84"/>
      <c r="N30" s="6">
        <f>Overview!O140</f>
        <v>0</v>
      </c>
      <c r="O30" s="6">
        <f t="shared" ref="O30:O32" si="34">IF(N30=0,0,1)</f>
        <v>0</v>
      </c>
      <c r="P30" s="6">
        <f t="shared" si="30"/>
        <v>0</v>
      </c>
    </row>
    <row r="31" spans="1:16" x14ac:dyDescent="0.45">
      <c r="A31" s="78" t="s">
        <v>18</v>
      </c>
      <c r="B31" s="10">
        <f>Overview!C141</f>
        <v>0</v>
      </c>
      <c r="C31" s="6">
        <f t="shared" si="31"/>
        <v>0</v>
      </c>
      <c r="D31" s="10">
        <f t="shared" ref="D31" si="35">B31*C31</f>
        <v>0</v>
      </c>
      <c r="E31" s="7"/>
      <c r="F31" s="10">
        <f>Overview!G141</f>
        <v>4096</v>
      </c>
      <c r="G31" s="6">
        <f t="shared" si="32"/>
        <v>1</v>
      </c>
      <c r="H31" s="88">
        <f t="shared" ref="H31" si="36">F31*G31</f>
        <v>4096</v>
      </c>
      <c r="I31" s="7"/>
      <c r="J31" s="10">
        <f>Overview!K141</f>
        <v>4096</v>
      </c>
      <c r="K31" s="6">
        <f t="shared" si="33"/>
        <v>1</v>
      </c>
      <c r="L31" s="88">
        <f t="shared" ref="L31" si="37">J31*K31</f>
        <v>4096</v>
      </c>
      <c r="M31" s="84"/>
      <c r="N31" s="10">
        <f>Overview!O141</f>
        <v>0</v>
      </c>
      <c r="O31" s="6">
        <f t="shared" si="34"/>
        <v>0</v>
      </c>
      <c r="P31" s="88">
        <f t="shared" ref="P31" si="38">N31*O31</f>
        <v>0</v>
      </c>
    </row>
    <row r="32" spans="1:16" ht="16.5" thickBot="1" x14ac:dyDescent="0.5">
      <c r="A32" s="78" t="s">
        <v>256</v>
      </c>
      <c r="B32" s="10">
        <f>Overview!C142</f>
        <v>104488</v>
      </c>
      <c r="C32" s="6">
        <f t="shared" si="31"/>
        <v>1</v>
      </c>
      <c r="D32" s="135">
        <f>B32*C32</f>
        <v>104488</v>
      </c>
      <c r="E32" s="7"/>
      <c r="F32" s="135">
        <f>Overview!G142</f>
        <v>257504</v>
      </c>
      <c r="G32" s="6">
        <f t="shared" si="32"/>
        <v>1</v>
      </c>
      <c r="H32" s="87">
        <f t="shared" si="28"/>
        <v>257504</v>
      </c>
      <c r="I32" s="7"/>
      <c r="J32" s="10">
        <f>Overview!K142</f>
        <v>32768</v>
      </c>
      <c r="K32" s="6">
        <f t="shared" si="33"/>
        <v>1</v>
      </c>
      <c r="L32" s="87">
        <f t="shared" si="29"/>
        <v>32768</v>
      </c>
      <c r="M32" s="84"/>
      <c r="N32" s="10">
        <f>Overview!O142</f>
        <v>0</v>
      </c>
      <c r="O32" s="6">
        <f t="shared" si="34"/>
        <v>0</v>
      </c>
      <c r="P32" s="87">
        <f t="shared" si="30"/>
        <v>0</v>
      </c>
    </row>
    <row r="33" spans="1:16" ht="16.5" thickBot="1" x14ac:dyDescent="0.5">
      <c r="A33" s="79" t="s">
        <v>168</v>
      </c>
      <c r="B33" s="60"/>
      <c r="C33" s="89"/>
      <c r="D33" s="93">
        <f>SUM(D3:D32)</f>
        <v>573440</v>
      </c>
      <c r="E33" s="7"/>
      <c r="F33" s="89"/>
      <c r="G33" s="94"/>
      <c r="H33" s="93">
        <f>SUM(H3:H32)</f>
        <v>1056736</v>
      </c>
      <c r="I33" s="7"/>
      <c r="J33" s="89"/>
      <c r="K33" s="94"/>
      <c r="L33" s="93">
        <f>SUM(L3:L32)</f>
        <v>154528</v>
      </c>
      <c r="M33" s="84"/>
      <c r="N33" s="89"/>
      <c r="O33" s="89"/>
      <c r="P33" s="93">
        <f>SUM(P3:P32)</f>
        <v>0</v>
      </c>
    </row>
    <row r="34" spans="1:16" x14ac:dyDescent="0.45">
      <c r="B34" s="80"/>
      <c r="C34" s="80"/>
      <c r="F34" s="80"/>
      <c r="G34" s="80"/>
      <c r="K34" s="80"/>
      <c r="O34" s="80"/>
    </row>
  </sheetData>
  <mergeCells count="5">
    <mergeCell ref="B1:D1"/>
    <mergeCell ref="F1:H1"/>
    <mergeCell ref="J1:L1"/>
    <mergeCell ref="N1:P1"/>
    <mergeCell ref="A1:A2"/>
  </mergeCells>
  <phoneticPr fontId="2" type="noConversion"/>
  <pageMargins left="0.7" right="0.7" top="0.75" bottom="0.75" header="0.3" footer="0.3"/>
  <pageSetup paperSize="148"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AF64CF94-16C8-40A1-9712-EDE97D1662C4}">
            <xm:f>NOT(Overview!$C$2="636+")</xm:f>
            <x14:dxf>
              <font>
                <color theme="0"/>
              </font>
              <fill>
                <patternFill patternType="none">
                  <fgColor indexed="64"/>
                  <bgColor auto="1"/>
                </patternFill>
              </fill>
              <border>
                <left/>
                <right/>
                <top/>
                <bottom/>
                <vertical/>
                <horizontal/>
              </border>
            </x14:dxf>
          </x14:cfRule>
          <xm:sqref>J1:Q33</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工作表10"/>
  <dimension ref="A2:O40"/>
  <sheetViews>
    <sheetView workbookViewId="0">
      <selection activeCell="H31" sqref="H31"/>
    </sheetView>
  </sheetViews>
  <sheetFormatPr defaultColWidth="17.796875" defaultRowHeight="16.149999999999999" x14ac:dyDescent="0.45"/>
  <cols>
    <col min="1" max="1" width="2.796875" customWidth="1"/>
    <col min="2" max="2" width="17.796875" customWidth="1"/>
    <col min="3" max="3" width="4.796875" customWidth="1"/>
    <col min="4" max="4" width="16.46484375" customWidth="1"/>
    <col min="5" max="5" width="4.796875" customWidth="1"/>
    <col min="6" max="6" width="16.33203125" customWidth="1"/>
    <col min="7" max="7" width="4.796875" customWidth="1"/>
    <col min="8" max="8" width="16" customWidth="1"/>
    <col min="9" max="9" width="4.796875" customWidth="1"/>
    <col min="10" max="10" width="17.796875" customWidth="1"/>
    <col min="11" max="11" width="4.796875" customWidth="1"/>
    <col min="13" max="13" width="4.796875" customWidth="1"/>
  </cols>
  <sheetData>
    <row r="2" spans="1:15" x14ac:dyDescent="0.45">
      <c r="B2" s="165" t="s">
        <v>274</v>
      </c>
      <c r="C2" s="253" t="s">
        <v>277</v>
      </c>
      <c r="D2" s="254"/>
      <c r="E2" s="254"/>
      <c r="F2" s="254"/>
      <c r="G2" s="254"/>
      <c r="H2" s="254"/>
      <c r="I2" s="254"/>
      <c r="J2" s="254"/>
      <c r="K2" s="254"/>
      <c r="L2" s="254"/>
      <c r="M2" s="254"/>
      <c r="N2" s="254"/>
    </row>
    <row r="3" spans="1:15" ht="10.25" customHeight="1" x14ac:dyDescent="0.45"/>
    <row r="4" spans="1:15" x14ac:dyDescent="0.45">
      <c r="B4" s="72" t="s">
        <v>273</v>
      </c>
      <c r="C4" s="253" t="s">
        <v>278</v>
      </c>
      <c r="D4" s="254"/>
      <c r="E4" s="254"/>
      <c r="F4" s="254"/>
      <c r="G4" s="254"/>
      <c r="H4" s="254"/>
      <c r="I4" s="254"/>
      <c r="J4" s="254"/>
      <c r="K4" s="254"/>
      <c r="L4" s="254"/>
      <c r="M4" s="254"/>
      <c r="N4" s="254"/>
    </row>
    <row r="5" spans="1:15" x14ac:dyDescent="0.45">
      <c r="B5" s="166"/>
    </row>
    <row r="6" spans="1:15" ht="11" customHeight="1" x14ac:dyDescent="0.45">
      <c r="A6" s="167"/>
      <c r="B6" s="167"/>
      <c r="C6" s="167"/>
      <c r="D6" s="167"/>
      <c r="E6" s="167"/>
      <c r="F6" s="167"/>
      <c r="G6" s="167"/>
      <c r="H6" s="167"/>
      <c r="I6" s="167"/>
      <c r="J6" s="167"/>
      <c r="K6" s="167"/>
      <c r="L6" s="167"/>
      <c r="M6" s="167"/>
      <c r="N6" s="167"/>
      <c r="O6" s="167"/>
    </row>
    <row r="7" spans="1:15" x14ac:dyDescent="0.45">
      <c r="B7" s="183" t="s">
        <v>37</v>
      </c>
      <c r="C7" s="4"/>
      <c r="D7" s="183" t="s">
        <v>43</v>
      </c>
      <c r="E7" s="4"/>
      <c r="F7" s="183" t="s">
        <v>44</v>
      </c>
      <c r="G7" s="4"/>
      <c r="H7" s="183" t="s">
        <v>45</v>
      </c>
      <c r="J7" s="183" t="s">
        <v>257</v>
      </c>
      <c r="L7" s="183" t="s">
        <v>271</v>
      </c>
      <c r="N7" s="183" t="s">
        <v>272</v>
      </c>
    </row>
    <row r="8" spans="1:15" ht="9.6" customHeight="1" x14ac:dyDescent="0.45">
      <c r="B8" s="4"/>
      <c r="C8" s="4"/>
      <c r="D8" s="4"/>
      <c r="E8" s="4"/>
      <c r="F8" s="4"/>
      <c r="G8" s="4"/>
      <c r="H8" s="4"/>
    </row>
    <row r="9" spans="1:15" x14ac:dyDescent="0.45">
      <c r="B9" s="6" t="s">
        <v>38</v>
      </c>
      <c r="C9" s="4"/>
      <c r="D9" s="248" t="s">
        <v>46</v>
      </c>
      <c r="E9" s="4"/>
      <c r="F9" s="6" t="s">
        <v>38</v>
      </c>
      <c r="G9" s="4"/>
      <c r="H9" s="249" t="s">
        <v>41</v>
      </c>
      <c r="J9" s="6" t="s">
        <v>258</v>
      </c>
      <c r="L9" s="248" t="s">
        <v>46</v>
      </c>
      <c r="N9" s="6" t="s">
        <v>275</v>
      </c>
    </row>
    <row r="10" spans="1:15" x14ac:dyDescent="0.45">
      <c r="B10" s="4" t="s">
        <v>53</v>
      </c>
      <c r="C10" s="4"/>
      <c r="D10" s="248"/>
      <c r="E10" s="4"/>
      <c r="F10" s="4" t="s">
        <v>53</v>
      </c>
      <c r="G10" s="4"/>
      <c r="H10" s="249"/>
      <c r="J10" s="4" t="s">
        <v>53</v>
      </c>
      <c r="L10" s="248"/>
      <c r="N10" s="4" t="s">
        <v>53</v>
      </c>
    </row>
    <row r="11" spans="1:15" x14ac:dyDescent="0.45">
      <c r="B11" s="248" t="s">
        <v>39</v>
      </c>
      <c r="C11" s="4"/>
      <c r="D11" s="248"/>
      <c r="E11" s="4"/>
      <c r="F11" s="250" t="s">
        <v>49</v>
      </c>
      <c r="G11" s="4"/>
      <c r="H11" s="249"/>
      <c r="J11" s="255" t="s">
        <v>259</v>
      </c>
      <c r="L11" s="248"/>
      <c r="N11" s="249" t="s">
        <v>276</v>
      </c>
    </row>
    <row r="12" spans="1:15" x14ac:dyDescent="0.45">
      <c r="B12" s="248"/>
      <c r="C12" s="4"/>
      <c r="D12" s="4" t="s">
        <v>53</v>
      </c>
      <c r="E12" s="4"/>
      <c r="F12" s="251"/>
      <c r="G12" s="4"/>
      <c r="H12" s="4" t="s">
        <v>53</v>
      </c>
      <c r="J12" s="255"/>
      <c r="L12" s="4" t="s">
        <v>53</v>
      </c>
      <c r="N12" s="249"/>
    </row>
    <row r="13" spans="1:15" x14ac:dyDescent="0.45">
      <c r="B13" s="248"/>
      <c r="C13" s="4"/>
      <c r="D13" s="6" t="s">
        <v>47</v>
      </c>
      <c r="E13" s="4"/>
      <c r="F13" s="252"/>
      <c r="G13" s="4"/>
      <c r="H13" s="6" t="s">
        <v>40</v>
      </c>
      <c r="J13" s="255"/>
      <c r="L13" s="6" t="s">
        <v>47</v>
      </c>
      <c r="N13" s="249"/>
    </row>
    <row r="14" spans="1:15" x14ac:dyDescent="0.45">
      <c r="B14" s="4" t="s">
        <v>53</v>
      </c>
      <c r="C14" s="4"/>
      <c r="D14" s="4" t="s">
        <v>53</v>
      </c>
      <c r="E14" s="4"/>
      <c r="F14" s="4" t="s">
        <v>53</v>
      </c>
      <c r="G14" s="4"/>
      <c r="H14" s="4" t="s">
        <v>53</v>
      </c>
      <c r="J14" s="4" t="s">
        <v>260</v>
      </c>
      <c r="L14" s="4" t="s">
        <v>53</v>
      </c>
      <c r="N14" s="4" t="s">
        <v>53</v>
      </c>
    </row>
    <row r="15" spans="1:15" x14ac:dyDescent="0.45">
      <c r="B15" s="6" t="s">
        <v>40</v>
      </c>
      <c r="C15" s="4"/>
      <c r="D15" s="248" t="s">
        <v>48</v>
      </c>
      <c r="E15" s="4"/>
      <c r="F15" s="6" t="s">
        <v>50</v>
      </c>
      <c r="G15" s="4"/>
      <c r="H15" s="250" t="s">
        <v>52</v>
      </c>
      <c r="J15" s="6" t="s">
        <v>261</v>
      </c>
      <c r="L15" s="248" t="s">
        <v>48</v>
      </c>
      <c r="N15" s="6" t="s">
        <v>279</v>
      </c>
    </row>
    <row r="16" spans="1:15" x14ac:dyDescent="0.45">
      <c r="B16" s="4" t="s">
        <v>53</v>
      </c>
      <c r="C16" s="4"/>
      <c r="D16" s="248"/>
      <c r="E16" s="4"/>
      <c r="F16" s="4" t="s">
        <v>53</v>
      </c>
      <c r="G16" s="4"/>
      <c r="H16" s="251"/>
      <c r="L16" s="248"/>
    </row>
    <row r="17" spans="2:14" x14ac:dyDescent="0.45">
      <c r="B17" s="249" t="s">
        <v>41</v>
      </c>
      <c r="C17" s="4"/>
      <c r="D17" s="248"/>
      <c r="E17" s="4"/>
      <c r="F17" s="250" t="s">
        <v>51</v>
      </c>
      <c r="G17" s="4"/>
      <c r="H17" s="252"/>
      <c r="L17" s="248"/>
    </row>
    <row r="18" spans="2:14" x14ac:dyDescent="0.45">
      <c r="B18" s="249"/>
      <c r="C18" s="4"/>
      <c r="D18" s="4" t="s">
        <v>53</v>
      </c>
      <c r="E18" s="4"/>
      <c r="F18" s="251"/>
      <c r="G18" s="4"/>
      <c r="H18" s="4" t="s">
        <v>53</v>
      </c>
      <c r="L18" s="4" t="s">
        <v>53</v>
      </c>
    </row>
    <row r="19" spans="2:14" x14ac:dyDescent="0.45">
      <c r="B19" s="249"/>
      <c r="C19" s="4"/>
      <c r="D19" s="6" t="s">
        <v>40</v>
      </c>
      <c r="E19" s="4"/>
      <c r="F19" s="252"/>
      <c r="G19" s="4"/>
      <c r="H19" s="6" t="s">
        <v>50</v>
      </c>
      <c r="J19" s="6" t="s">
        <v>262</v>
      </c>
      <c r="L19" s="6" t="s">
        <v>40</v>
      </c>
      <c r="N19" s="6" t="s">
        <v>275</v>
      </c>
    </row>
    <row r="20" spans="2:14" x14ac:dyDescent="0.45">
      <c r="B20" s="4" t="s">
        <v>53</v>
      </c>
      <c r="C20" s="4"/>
      <c r="D20" s="4" t="s">
        <v>53</v>
      </c>
      <c r="E20" s="4"/>
      <c r="F20" s="4"/>
      <c r="G20" s="4"/>
      <c r="H20" s="4" t="s">
        <v>53</v>
      </c>
      <c r="J20" s="4" t="s">
        <v>53</v>
      </c>
      <c r="L20" s="4" t="s">
        <v>53</v>
      </c>
      <c r="N20" s="4" t="s">
        <v>53</v>
      </c>
    </row>
    <row r="21" spans="2:14" x14ac:dyDescent="0.45">
      <c r="B21" s="6" t="s">
        <v>42</v>
      </c>
      <c r="C21" s="4"/>
      <c r="D21" s="248" t="s">
        <v>41</v>
      </c>
      <c r="E21" s="4"/>
      <c r="F21" s="4"/>
      <c r="G21" s="4"/>
      <c r="H21" s="250" t="s">
        <v>51</v>
      </c>
      <c r="J21" s="255" t="s">
        <v>263</v>
      </c>
      <c r="L21" s="250" t="s">
        <v>52</v>
      </c>
      <c r="N21" s="249" t="s">
        <v>160</v>
      </c>
    </row>
    <row r="22" spans="2:14" x14ac:dyDescent="0.45">
      <c r="B22" s="4"/>
      <c r="C22" s="4"/>
      <c r="D22" s="248"/>
      <c r="E22" s="4"/>
      <c r="F22" s="4"/>
      <c r="G22" s="4"/>
      <c r="H22" s="251"/>
      <c r="J22" s="255"/>
      <c r="L22" s="251"/>
      <c r="N22" s="249"/>
    </row>
    <row r="23" spans="2:14" x14ac:dyDescent="0.45">
      <c r="B23" s="4"/>
      <c r="C23" s="4"/>
      <c r="D23" s="248"/>
      <c r="E23" s="4"/>
      <c r="F23" s="6" t="s">
        <v>38</v>
      </c>
      <c r="G23" s="4"/>
      <c r="H23" s="252"/>
      <c r="J23" s="255"/>
      <c r="L23" s="252"/>
      <c r="N23" s="249"/>
    </row>
    <row r="24" spans="2:14" x14ac:dyDescent="0.45">
      <c r="B24" s="4"/>
      <c r="C24" s="4"/>
      <c r="D24" s="4" t="s">
        <v>53</v>
      </c>
      <c r="E24" s="4"/>
      <c r="F24" s="4" t="s">
        <v>53</v>
      </c>
      <c r="G24" s="4"/>
      <c r="H24" s="4"/>
      <c r="J24" s="4" t="s">
        <v>260</v>
      </c>
      <c r="L24" s="4" t="s">
        <v>53</v>
      </c>
      <c r="N24" s="4" t="s">
        <v>53</v>
      </c>
    </row>
    <row r="25" spans="2:14" x14ac:dyDescent="0.45">
      <c r="B25" s="4"/>
      <c r="C25" s="4"/>
      <c r="D25" s="6" t="s">
        <v>42</v>
      </c>
      <c r="E25" s="4"/>
      <c r="F25" s="250" t="s">
        <v>49</v>
      </c>
      <c r="G25" s="4"/>
      <c r="H25" s="4"/>
      <c r="J25" s="6" t="s">
        <v>264</v>
      </c>
      <c r="L25" s="6" t="s">
        <v>50</v>
      </c>
      <c r="N25" s="6" t="s">
        <v>50</v>
      </c>
    </row>
    <row r="26" spans="2:14" x14ac:dyDescent="0.45">
      <c r="F26" s="251"/>
      <c r="L26" s="4" t="s">
        <v>53</v>
      </c>
      <c r="N26" s="4" t="s">
        <v>53</v>
      </c>
    </row>
    <row r="27" spans="2:14" x14ac:dyDescent="0.45">
      <c r="F27" s="252"/>
      <c r="L27" s="250" t="s">
        <v>51</v>
      </c>
      <c r="N27" s="250" t="s">
        <v>51</v>
      </c>
    </row>
    <row r="28" spans="2:14" x14ac:dyDescent="0.45">
      <c r="F28" s="4" t="s">
        <v>53</v>
      </c>
      <c r="L28" s="251"/>
      <c r="N28" s="251"/>
    </row>
    <row r="29" spans="2:14" x14ac:dyDescent="0.45">
      <c r="F29" s="6" t="s">
        <v>159</v>
      </c>
      <c r="L29" s="252"/>
      <c r="N29" s="252"/>
    </row>
    <row r="30" spans="2:14" x14ac:dyDescent="0.45">
      <c r="F30" s="4" t="s">
        <v>53</v>
      </c>
    </row>
    <row r="31" spans="2:14" x14ac:dyDescent="0.45">
      <c r="F31" s="250" t="s">
        <v>160</v>
      </c>
    </row>
    <row r="32" spans="2:14" x14ac:dyDescent="0.45">
      <c r="F32" s="251"/>
    </row>
    <row r="33" spans="6:6" x14ac:dyDescent="0.45">
      <c r="F33" s="252"/>
    </row>
    <row r="34" spans="6:6" x14ac:dyDescent="0.45">
      <c r="F34" s="4" t="s">
        <v>53</v>
      </c>
    </row>
    <row r="35" spans="6:6" x14ac:dyDescent="0.45">
      <c r="F35" s="6" t="s">
        <v>50</v>
      </c>
    </row>
    <row r="36" spans="6:6" x14ac:dyDescent="0.45">
      <c r="F36" s="4" t="s">
        <v>53</v>
      </c>
    </row>
    <row r="37" spans="6:6" x14ac:dyDescent="0.45">
      <c r="F37" s="250" t="s">
        <v>51</v>
      </c>
    </row>
    <row r="38" spans="6:6" x14ac:dyDescent="0.45">
      <c r="F38" s="251"/>
    </row>
    <row r="39" spans="6:6" x14ac:dyDescent="0.45">
      <c r="F39" s="252"/>
    </row>
    <row r="40" spans="6:6" x14ac:dyDescent="0.45">
      <c r="F40" s="4"/>
    </row>
  </sheetData>
  <sheetProtection selectLockedCells="1" selectUnlockedCells="1"/>
  <mergeCells count="24">
    <mergeCell ref="N11:N13"/>
    <mergeCell ref="C2:N2"/>
    <mergeCell ref="C4:N4"/>
    <mergeCell ref="N21:N23"/>
    <mergeCell ref="N27:N29"/>
    <mergeCell ref="L9:L11"/>
    <mergeCell ref="L15:L17"/>
    <mergeCell ref="L21:L23"/>
    <mergeCell ref="L27:L29"/>
    <mergeCell ref="J11:J13"/>
    <mergeCell ref="J21:J23"/>
    <mergeCell ref="F25:F27"/>
    <mergeCell ref="F31:F33"/>
    <mergeCell ref="F37:F39"/>
    <mergeCell ref="H9:H11"/>
    <mergeCell ref="H15:H17"/>
    <mergeCell ref="H21:H23"/>
    <mergeCell ref="F11:F13"/>
    <mergeCell ref="F17:F19"/>
    <mergeCell ref="B11:B13"/>
    <mergeCell ref="B17:B19"/>
    <mergeCell ref="D9:D11"/>
    <mergeCell ref="D15:D17"/>
    <mergeCell ref="D21:D23"/>
  </mergeCells>
  <phoneticPr fontId="2" type="noConversion"/>
  <pageMargins left="0.7" right="0.7" top="0.75" bottom="0.75" header="0.3" footer="0.3"/>
  <pageSetup paperSize="148"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4"/>
  <dimension ref="A1:G70"/>
  <sheetViews>
    <sheetView topLeftCell="A31" workbookViewId="0">
      <selection activeCell="C46" sqref="C46"/>
    </sheetView>
  </sheetViews>
  <sheetFormatPr defaultRowHeight="16.149999999999999" x14ac:dyDescent="0.45"/>
  <cols>
    <col min="1" max="1" width="26.33203125" customWidth="1"/>
    <col min="2" max="2" width="21.6640625" bestFit="1" customWidth="1"/>
    <col min="3" max="3" width="9.46484375" bestFit="1" customWidth="1"/>
    <col min="4" max="4" width="9.19921875" customWidth="1"/>
    <col min="5" max="5" width="1.796875" customWidth="1"/>
    <col min="6" max="6" width="26.86328125" bestFit="1" customWidth="1"/>
    <col min="7" max="7" width="11.33203125" customWidth="1"/>
  </cols>
  <sheetData>
    <row r="1" spans="1:7" x14ac:dyDescent="0.45">
      <c r="A1" s="268" t="s">
        <v>61</v>
      </c>
      <c r="B1" s="269"/>
      <c r="C1" s="270"/>
      <c r="D1" s="270"/>
    </row>
    <row r="2" spans="1:7" ht="6.6" customHeight="1" thickBot="1" x14ac:dyDescent="0.5"/>
    <row r="3" spans="1:7" ht="17" customHeight="1" thickBot="1" x14ac:dyDescent="0.5">
      <c r="A3" s="258" t="s">
        <v>99</v>
      </c>
      <c r="B3" s="259"/>
      <c r="C3" s="61" t="s">
        <v>0</v>
      </c>
      <c r="D3" s="61" t="s">
        <v>102</v>
      </c>
    </row>
    <row r="4" spans="1:7" ht="17" customHeight="1" thickBot="1" x14ac:dyDescent="0.5">
      <c r="A4" s="260" t="s">
        <v>169</v>
      </c>
      <c r="B4" s="261"/>
      <c r="C4" s="62">
        <f>IF(Overview!C8=0,0,1)</f>
        <v>1</v>
      </c>
      <c r="D4" s="62"/>
      <c r="F4" s="71" t="s">
        <v>114</v>
      </c>
      <c r="G4" s="69" t="s">
        <v>0</v>
      </c>
    </row>
    <row r="5" spans="1:7" x14ac:dyDescent="0.45">
      <c r="A5" s="262" t="s">
        <v>109</v>
      </c>
      <c r="B5" s="54" t="s">
        <v>93</v>
      </c>
      <c r="C5" s="57">
        <f>IF(Overview!C9=0,0,1)</f>
        <v>0</v>
      </c>
      <c r="D5" s="63"/>
      <c r="F5" s="44" t="s">
        <v>86</v>
      </c>
      <c r="G5" s="6">
        <f>IF(Overview!C3="NVR",0,Overview!C21)</f>
        <v>0</v>
      </c>
    </row>
    <row r="6" spans="1:7" x14ac:dyDescent="0.45">
      <c r="A6" s="263"/>
      <c r="B6" s="44" t="s">
        <v>100</v>
      </c>
      <c r="C6" s="58">
        <f>C10</f>
        <v>3840</v>
      </c>
      <c r="D6" s="64"/>
      <c r="F6" s="44" t="s">
        <v>57</v>
      </c>
      <c r="G6" s="6">
        <v>960</v>
      </c>
    </row>
    <row r="7" spans="1:7" x14ac:dyDescent="0.45">
      <c r="A7" s="263"/>
      <c r="B7" s="44" t="s">
        <v>101</v>
      </c>
      <c r="C7" s="58">
        <f>IF(G5=1,CEILING(C11,G7),C11)</f>
        <v>2160</v>
      </c>
      <c r="D7" s="64"/>
      <c r="F7" s="44" t="s">
        <v>58</v>
      </c>
      <c r="G7" s="6">
        <v>576</v>
      </c>
    </row>
    <row r="8" spans="1:7" x14ac:dyDescent="0.45">
      <c r="A8" s="263"/>
      <c r="B8" s="44" t="s">
        <v>94</v>
      </c>
      <c r="C8" s="58">
        <f>Overview!C19</f>
        <v>5</v>
      </c>
      <c r="D8" s="64"/>
      <c r="F8" s="44" t="s">
        <v>71</v>
      </c>
      <c r="G8" s="6">
        <f>Overview!C22</f>
        <v>2</v>
      </c>
    </row>
    <row r="9" spans="1:7" ht="16.5" thickBot="1" x14ac:dyDescent="0.5">
      <c r="A9" s="264"/>
      <c r="B9" s="56" t="s">
        <v>105</v>
      </c>
      <c r="C9" s="60">
        <f>Overview!C20</f>
        <v>1.125</v>
      </c>
      <c r="D9" s="67"/>
      <c r="F9" s="44" t="s">
        <v>72</v>
      </c>
      <c r="G9" s="6">
        <v>2</v>
      </c>
    </row>
    <row r="10" spans="1:7" x14ac:dyDescent="0.45">
      <c r="A10" s="262" t="s">
        <v>110</v>
      </c>
      <c r="B10" s="54" t="s">
        <v>90</v>
      </c>
      <c r="C10" s="57">
        <f>CEILING(Overview!C11,16)</f>
        <v>3840</v>
      </c>
      <c r="D10" s="63"/>
      <c r="F10" s="117" t="s">
        <v>74</v>
      </c>
      <c r="G10" s="6">
        <f>Overview!C22</f>
        <v>2</v>
      </c>
    </row>
    <row r="11" spans="1:7" x14ac:dyDescent="0.45">
      <c r="A11" s="263"/>
      <c r="B11" s="44" t="s">
        <v>91</v>
      </c>
      <c r="C11" s="58">
        <f>CEILING(Overview!C12,16)</f>
        <v>2160</v>
      </c>
      <c r="D11" s="64"/>
      <c r="F11" s="117" t="s">
        <v>75</v>
      </c>
      <c r="G11" s="6">
        <v>1.125</v>
      </c>
    </row>
    <row r="12" spans="1:7" x14ac:dyDescent="0.45">
      <c r="A12" s="264"/>
      <c r="B12" s="56" t="s">
        <v>106</v>
      </c>
      <c r="C12" s="60">
        <f>Overview!C13</f>
        <v>4</v>
      </c>
      <c r="D12" s="67"/>
      <c r="F12" s="141" t="s">
        <v>108</v>
      </c>
      <c r="G12" s="142">
        <f>CEILING((YUVSIZE(C6,C7,C9)*G8+YUVSIZE(C6,C7,G11)*G10)/1024,4)*G5</f>
        <v>0</v>
      </c>
    </row>
    <row r="13" spans="1:7" ht="16.5" thickBot="1" x14ac:dyDescent="0.5">
      <c r="A13" s="265"/>
      <c r="B13" s="55" t="s">
        <v>92</v>
      </c>
      <c r="C13" s="59">
        <f>Overview!C10</f>
        <v>1.5</v>
      </c>
      <c r="D13" s="65"/>
      <c r="F13" s="144"/>
      <c r="G13" s="143"/>
    </row>
    <row r="14" spans="1:7" x14ac:dyDescent="0.45">
      <c r="A14" s="262" t="s">
        <v>111</v>
      </c>
      <c r="B14" s="54" t="s">
        <v>90</v>
      </c>
      <c r="C14" s="57">
        <f>CEILING(Overview!C15,16)</f>
        <v>1920</v>
      </c>
      <c r="D14" s="63"/>
    </row>
    <row r="15" spans="1:7" x14ac:dyDescent="0.45">
      <c r="A15" s="263"/>
      <c r="B15" s="44" t="s">
        <v>91</v>
      </c>
      <c r="C15" s="58">
        <f>CEILING(Overview!C16,16)</f>
        <v>1088</v>
      </c>
      <c r="D15" s="64"/>
    </row>
    <row r="16" spans="1:7" x14ac:dyDescent="0.45">
      <c r="A16" s="263"/>
      <c r="B16" s="44" t="s">
        <v>98</v>
      </c>
      <c r="C16" s="58">
        <f>Overview!C14</f>
        <v>4</v>
      </c>
      <c r="D16" s="64"/>
    </row>
    <row r="17" spans="1:7" ht="16.5" thickBot="1" x14ac:dyDescent="0.5">
      <c r="A17" s="265"/>
      <c r="B17" s="55" t="s">
        <v>95</v>
      </c>
      <c r="C17" s="59">
        <f>IF(Overview!C17=1,0.5,1)</f>
        <v>0.5</v>
      </c>
      <c r="D17" s="65"/>
    </row>
    <row r="18" spans="1:7" x14ac:dyDescent="0.45">
      <c r="A18" s="266" t="s">
        <v>96</v>
      </c>
      <c r="B18" s="54" t="s">
        <v>97</v>
      </c>
      <c r="C18" s="57">
        <f>Overview!C18</f>
        <v>0</v>
      </c>
      <c r="D18" s="63"/>
    </row>
    <row r="19" spans="1:7" x14ac:dyDescent="0.45">
      <c r="A19" s="267"/>
      <c r="B19" s="56" t="s">
        <v>73</v>
      </c>
      <c r="C19" s="66">
        <v>0.25</v>
      </c>
      <c r="D19" s="67" t="s">
        <v>184</v>
      </c>
    </row>
    <row r="20" spans="1:7" x14ac:dyDescent="0.45">
      <c r="A20" s="256" t="s">
        <v>103</v>
      </c>
      <c r="B20" s="257"/>
      <c r="C20" s="6">
        <f>IF(Overview!C3="NVR",0,MAX(CEILING(((YUVSIZE(C6,C7,C9)+C6*16+C7*16)*C8)/1024,4),G12)*C5*C4)</f>
        <v>0</v>
      </c>
      <c r="D20" s="5"/>
    </row>
    <row r="21" spans="1:7" x14ac:dyDescent="0.45">
      <c r="A21" s="256" t="s">
        <v>104</v>
      </c>
      <c r="B21" s="257"/>
      <c r="C21" s="6">
        <f>CEILING((YUVSIZE(C10,C11,C13)*C12)/1024,4)*C4</f>
        <v>48600</v>
      </c>
      <c r="D21" s="5"/>
    </row>
    <row r="22" spans="1:7" x14ac:dyDescent="0.45">
      <c r="A22" s="256" t="s">
        <v>122</v>
      </c>
      <c r="B22" s="257"/>
      <c r="C22" s="6">
        <f>CEILING(YUVSIZE(C14,C15,C16)/1024,4)*C4</f>
        <v>8160</v>
      </c>
      <c r="D22" s="5"/>
    </row>
    <row r="23" spans="1:7" x14ac:dyDescent="0.45">
      <c r="A23" s="256" t="s">
        <v>123</v>
      </c>
      <c r="B23" s="257"/>
      <c r="C23" s="6">
        <f>CEILING(C18*C10*C11*C19/1024,4)*C4</f>
        <v>0</v>
      </c>
      <c r="D23" s="5"/>
    </row>
    <row r="24" spans="1:7" x14ac:dyDescent="0.45">
      <c r="A24" s="256" t="s">
        <v>124</v>
      </c>
      <c r="B24" s="257"/>
      <c r="C24" s="6">
        <f>C22*C17*2*C4*Overview!C17</f>
        <v>8160</v>
      </c>
      <c r="D24" s="5" t="s">
        <v>107</v>
      </c>
    </row>
    <row r="25" spans="1:7" ht="16.5" thickBot="1" x14ac:dyDescent="0.5">
      <c r="A25" s="53"/>
    </row>
    <row r="26" spans="1:7" ht="16.5" thickBot="1" x14ac:dyDescent="0.5">
      <c r="A26" s="258" t="s">
        <v>112</v>
      </c>
      <c r="B26" s="259"/>
      <c r="C26" s="61" t="s">
        <v>0</v>
      </c>
      <c r="D26" s="61" t="s">
        <v>62</v>
      </c>
    </row>
    <row r="27" spans="1:7" ht="16.25" customHeight="1" thickBot="1" x14ac:dyDescent="0.5">
      <c r="A27" s="260" t="s">
        <v>169</v>
      </c>
      <c r="B27" s="261"/>
      <c r="C27" s="62">
        <f>IF(Overview!C23=0,0,1)</f>
        <v>1</v>
      </c>
      <c r="D27" s="62"/>
      <c r="F27" s="71" t="s">
        <v>113</v>
      </c>
      <c r="G27" s="69" t="s">
        <v>0</v>
      </c>
    </row>
    <row r="28" spans="1:7" x14ac:dyDescent="0.45">
      <c r="A28" s="262" t="s">
        <v>109</v>
      </c>
      <c r="B28" s="54" t="s">
        <v>93</v>
      </c>
      <c r="C28" s="57">
        <f>IF(Overview!C9=0,0,1)</f>
        <v>0</v>
      </c>
      <c r="D28" s="63"/>
      <c r="F28" s="44" t="s">
        <v>86</v>
      </c>
      <c r="G28" s="6">
        <f>IF(Overview!C3="NVR",0,Overview!C36)</f>
        <v>0</v>
      </c>
    </row>
    <row r="29" spans="1:7" x14ac:dyDescent="0.45">
      <c r="A29" s="263"/>
      <c r="B29" s="44" t="s">
        <v>100</v>
      </c>
      <c r="C29" s="58">
        <f>C33</f>
        <v>1920</v>
      </c>
      <c r="D29" s="64"/>
      <c r="F29" s="44" t="s">
        <v>57</v>
      </c>
      <c r="G29" s="6">
        <v>960</v>
      </c>
    </row>
    <row r="30" spans="1:7" x14ac:dyDescent="0.45">
      <c r="A30" s="263"/>
      <c r="B30" s="44" t="s">
        <v>101</v>
      </c>
      <c r="C30" s="58">
        <f>IF(G28=1,CEILING(C34,G30),C34)</f>
        <v>1088</v>
      </c>
      <c r="D30" s="64"/>
      <c r="F30" s="44" t="s">
        <v>58</v>
      </c>
      <c r="G30" s="6">
        <v>576</v>
      </c>
    </row>
    <row r="31" spans="1:7" x14ac:dyDescent="0.45">
      <c r="A31" s="263"/>
      <c r="B31" s="44" t="s">
        <v>3</v>
      </c>
      <c r="C31" s="58">
        <f>Overview!C34</f>
        <v>4</v>
      </c>
      <c r="D31" s="64"/>
      <c r="F31" s="44" t="s">
        <v>71</v>
      </c>
      <c r="G31" s="6">
        <f>Overview!C37</f>
        <v>2</v>
      </c>
    </row>
    <row r="32" spans="1:7" ht="16.5" thickBot="1" x14ac:dyDescent="0.5">
      <c r="A32" s="264"/>
      <c r="B32" s="56" t="s">
        <v>73</v>
      </c>
      <c r="C32" s="60">
        <f>Overview!C35</f>
        <v>1.125</v>
      </c>
      <c r="D32" s="67"/>
      <c r="F32" s="44" t="s">
        <v>72</v>
      </c>
      <c r="G32" s="6">
        <v>2</v>
      </c>
    </row>
    <row r="33" spans="1:7" x14ac:dyDescent="0.45">
      <c r="A33" s="262" t="s">
        <v>110</v>
      </c>
      <c r="B33" s="54" t="s">
        <v>57</v>
      </c>
      <c r="C33" s="57">
        <f>CEILING(Overview!C26,16)</f>
        <v>1920</v>
      </c>
      <c r="D33" s="63"/>
      <c r="F33" s="117" t="s">
        <v>74</v>
      </c>
      <c r="G33" s="6">
        <f>Overview!C37</f>
        <v>2</v>
      </c>
    </row>
    <row r="34" spans="1:7" x14ac:dyDescent="0.45">
      <c r="A34" s="263"/>
      <c r="B34" s="44" t="s">
        <v>58</v>
      </c>
      <c r="C34" s="58">
        <f>CEILING(Overview!C27,16)</f>
        <v>1088</v>
      </c>
      <c r="D34" s="64"/>
      <c r="F34" s="117" t="s">
        <v>75</v>
      </c>
      <c r="G34" s="6">
        <v>1.125</v>
      </c>
    </row>
    <row r="35" spans="1:7" x14ac:dyDescent="0.45">
      <c r="A35" s="264"/>
      <c r="B35" s="56" t="s">
        <v>3</v>
      </c>
      <c r="C35" s="60">
        <f>Overview!C28</f>
        <v>4</v>
      </c>
      <c r="D35" s="67"/>
      <c r="F35" s="141" t="s">
        <v>115</v>
      </c>
      <c r="G35" s="142">
        <f>CEILING((YUVSIZE(C29,C30,G32)*G31+YUVSIZE(C29,C30,G34)*G33)/1024,4)*G28</f>
        <v>0</v>
      </c>
    </row>
    <row r="36" spans="1:7" ht="16.25" customHeight="1" thickBot="1" x14ac:dyDescent="0.5">
      <c r="A36" s="265"/>
      <c r="B36" s="55" t="s">
        <v>73</v>
      </c>
      <c r="C36" s="59">
        <f>Overview!C25</f>
        <v>1.5</v>
      </c>
      <c r="D36" s="65"/>
      <c r="F36" s="144"/>
      <c r="G36" s="143"/>
    </row>
    <row r="37" spans="1:7" x14ac:dyDescent="0.45">
      <c r="A37" s="262" t="s">
        <v>111</v>
      </c>
      <c r="B37" s="54" t="s">
        <v>57</v>
      </c>
      <c r="C37" s="57">
        <f>CEILING(Overview!C26,16)</f>
        <v>1920</v>
      </c>
      <c r="D37" s="63"/>
    </row>
    <row r="38" spans="1:7" x14ac:dyDescent="0.45">
      <c r="A38" s="263"/>
      <c r="B38" s="44" t="s">
        <v>58</v>
      </c>
      <c r="C38" s="58">
        <f>CEILING(Overview!C27,16)</f>
        <v>1088</v>
      </c>
      <c r="D38" s="64"/>
    </row>
    <row r="39" spans="1:7" x14ac:dyDescent="0.45">
      <c r="A39" s="263"/>
      <c r="B39" s="44" t="s">
        <v>73</v>
      </c>
      <c r="C39" s="58">
        <f>Overview!C29</f>
        <v>2</v>
      </c>
      <c r="D39" s="64"/>
    </row>
    <row r="40" spans="1:7" ht="16.5" thickBot="1" x14ac:dyDescent="0.5">
      <c r="A40" s="265"/>
      <c r="B40" s="55" t="s">
        <v>95</v>
      </c>
      <c r="C40" s="59">
        <f>IF(Overview!C32=1,0.5,1)</f>
        <v>0.5</v>
      </c>
      <c r="D40" s="65"/>
    </row>
    <row r="41" spans="1:7" x14ac:dyDescent="0.45">
      <c r="A41" s="266" t="s">
        <v>96</v>
      </c>
      <c r="B41" s="54" t="s">
        <v>93</v>
      </c>
      <c r="C41" s="57">
        <f>Overview!C33</f>
        <v>0</v>
      </c>
      <c r="D41" s="63"/>
    </row>
    <row r="42" spans="1:7" x14ac:dyDescent="0.45">
      <c r="A42" s="267"/>
      <c r="B42" s="56" t="s">
        <v>73</v>
      </c>
      <c r="C42" s="66">
        <v>0.25</v>
      </c>
      <c r="D42" s="67" t="s">
        <v>185</v>
      </c>
    </row>
    <row r="43" spans="1:7" x14ac:dyDescent="0.45">
      <c r="A43" s="256" t="s">
        <v>116</v>
      </c>
      <c r="B43" s="257"/>
      <c r="C43" s="6">
        <f>IF(Overview!C3="NVR",0,MAX(CEILING((YUVSIZE(C29,C30,C32)+C29*16+C30*16)*C31/1024,4),G35)*C28*C27)</f>
        <v>0</v>
      </c>
      <c r="D43" s="5"/>
    </row>
    <row r="44" spans="1:7" x14ac:dyDescent="0.45">
      <c r="A44" s="256" t="s">
        <v>117</v>
      </c>
      <c r="B44" s="257"/>
      <c r="C44" s="6">
        <f>CEILING((YUVSIZE(C33,C34,C36)*C35)/1024,4)*C27</f>
        <v>12240</v>
      </c>
      <c r="D44" s="5"/>
    </row>
    <row r="45" spans="1:7" x14ac:dyDescent="0.45">
      <c r="A45" s="256" t="s">
        <v>119</v>
      </c>
      <c r="B45" s="257"/>
      <c r="C45" s="6">
        <f>CEILING(YUVSIZE(C37,C38,C39)/1024,4)*C27</f>
        <v>4080</v>
      </c>
      <c r="D45" s="5"/>
    </row>
    <row r="46" spans="1:7" x14ac:dyDescent="0.45">
      <c r="A46" s="256" t="s">
        <v>120</v>
      </c>
      <c r="B46" s="257"/>
      <c r="C46" s="6">
        <f>CEILING(C41*C33*C34*C42/1024,4)*C27</f>
        <v>0</v>
      </c>
      <c r="D46" s="5"/>
    </row>
    <row r="47" spans="1:7" x14ac:dyDescent="0.45">
      <c r="A47" s="256" t="s">
        <v>121</v>
      </c>
      <c r="B47" s="257"/>
      <c r="C47" s="6">
        <f>C45*C40*2*C27*Overview!C32</f>
        <v>4080</v>
      </c>
      <c r="D47" s="5"/>
    </row>
    <row r="48" spans="1:7" ht="16.5" thickBot="1" x14ac:dyDescent="0.5"/>
    <row r="49" spans="1:7" ht="16.5" thickBot="1" x14ac:dyDescent="0.5">
      <c r="A49" s="258" t="s">
        <v>118</v>
      </c>
      <c r="B49" s="259"/>
      <c r="C49" s="61" t="s">
        <v>0</v>
      </c>
      <c r="D49" s="61" t="s">
        <v>62</v>
      </c>
    </row>
    <row r="50" spans="1:7" ht="16.5" thickBot="1" x14ac:dyDescent="0.5">
      <c r="A50" s="260" t="s">
        <v>169</v>
      </c>
      <c r="B50" s="261"/>
      <c r="C50" s="118">
        <f>IF(Overview!C38=0,0,1)</f>
        <v>1</v>
      </c>
      <c r="D50" s="118"/>
      <c r="F50" s="71" t="s">
        <v>129</v>
      </c>
      <c r="G50" s="69" t="s">
        <v>0</v>
      </c>
    </row>
    <row r="51" spans="1:7" ht="16.25" customHeight="1" x14ac:dyDescent="0.45">
      <c r="A51" s="262" t="s">
        <v>109</v>
      </c>
      <c r="B51" s="54" t="s">
        <v>93</v>
      </c>
      <c r="C51" s="57">
        <f>IF(Overview!C39=0,0,1)</f>
        <v>0</v>
      </c>
      <c r="D51" s="63"/>
      <c r="F51" s="117" t="s">
        <v>86</v>
      </c>
      <c r="G51" s="6">
        <f>IF(Overview!C3="NVR",0,Overview!C51)</f>
        <v>0</v>
      </c>
    </row>
    <row r="52" spans="1:7" x14ac:dyDescent="0.45">
      <c r="A52" s="263"/>
      <c r="B52" s="117" t="s">
        <v>100</v>
      </c>
      <c r="C52" s="58">
        <f>C37</f>
        <v>1920</v>
      </c>
      <c r="D52" s="64"/>
      <c r="F52" s="117" t="s">
        <v>57</v>
      </c>
      <c r="G52" s="6">
        <v>960</v>
      </c>
    </row>
    <row r="53" spans="1:7" x14ac:dyDescent="0.45">
      <c r="A53" s="263"/>
      <c r="B53" s="117" t="s">
        <v>101</v>
      </c>
      <c r="C53" s="58">
        <f>IF(G51=1,CEILING(C57,G53),C57)</f>
        <v>576</v>
      </c>
      <c r="D53" s="64"/>
      <c r="F53" s="117" t="s">
        <v>58</v>
      </c>
      <c r="G53" s="6">
        <v>576</v>
      </c>
    </row>
    <row r="54" spans="1:7" x14ac:dyDescent="0.45">
      <c r="A54" s="263"/>
      <c r="B54" s="117" t="s">
        <v>3</v>
      </c>
      <c r="C54" s="58">
        <f>Overview!C49</f>
        <v>4</v>
      </c>
      <c r="D54" s="64"/>
      <c r="F54" s="117" t="s">
        <v>71</v>
      </c>
      <c r="G54" s="6">
        <f>Overview!C52</f>
        <v>2</v>
      </c>
    </row>
    <row r="55" spans="1:7" ht="16.5" thickBot="1" x14ac:dyDescent="0.5">
      <c r="A55" s="264"/>
      <c r="B55" s="56" t="s">
        <v>73</v>
      </c>
      <c r="C55" s="60">
        <f>Overview!C50</f>
        <v>1.125</v>
      </c>
      <c r="D55" s="67"/>
      <c r="F55" s="117" t="s">
        <v>72</v>
      </c>
      <c r="G55" s="6">
        <v>2</v>
      </c>
    </row>
    <row r="56" spans="1:7" x14ac:dyDescent="0.45">
      <c r="A56" s="262" t="s">
        <v>110</v>
      </c>
      <c r="B56" s="54" t="s">
        <v>57</v>
      </c>
      <c r="C56" s="57">
        <f>CEILING(Overview!C41,16)</f>
        <v>720</v>
      </c>
      <c r="D56" s="63"/>
      <c r="F56" s="117" t="s">
        <v>74</v>
      </c>
      <c r="G56" s="6">
        <f>Overview!C52</f>
        <v>2</v>
      </c>
    </row>
    <row r="57" spans="1:7" ht="16.25" customHeight="1" x14ac:dyDescent="0.45">
      <c r="A57" s="263"/>
      <c r="B57" s="117" t="s">
        <v>58</v>
      </c>
      <c r="C57" s="58">
        <f>CEILING(Overview!C42,16)</f>
        <v>576</v>
      </c>
      <c r="D57" s="64"/>
      <c r="F57" s="117" t="s">
        <v>75</v>
      </c>
      <c r="G57" s="6">
        <v>1.125</v>
      </c>
    </row>
    <row r="58" spans="1:7" x14ac:dyDescent="0.45">
      <c r="A58" s="264"/>
      <c r="B58" s="56" t="s">
        <v>3</v>
      </c>
      <c r="C58" s="60">
        <f>Overview!C43</f>
        <v>4</v>
      </c>
      <c r="D58" s="67"/>
      <c r="F58" s="141" t="s">
        <v>128</v>
      </c>
      <c r="G58" s="142">
        <f>CEILING((YUVSIZE(C52,C53,G55)*G54+YUVSIZE(C52,C53,G57)*G56)/1024,4)*G51</f>
        <v>0</v>
      </c>
    </row>
    <row r="59" spans="1:7" ht="16.5" thickBot="1" x14ac:dyDescent="0.5">
      <c r="A59" s="265"/>
      <c r="B59" s="115" t="s">
        <v>73</v>
      </c>
      <c r="C59" s="59">
        <f>Overview!C40</f>
        <v>2</v>
      </c>
      <c r="D59" s="65"/>
      <c r="F59" s="144"/>
      <c r="G59" s="143"/>
    </row>
    <row r="60" spans="1:7" x14ac:dyDescent="0.45">
      <c r="A60" s="262" t="s">
        <v>111</v>
      </c>
      <c r="B60" s="54" t="s">
        <v>57</v>
      </c>
      <c r="C60" s="57">
        <f>CEILING(Overview!C45,16)</f>
        <v>720</v>
      </c>
      <c r="D60" s="63"/>
    </row>
    <row r="61" spans="1:7" ht="16.25" customHeight="1" x14ac:dyDescent="0.45">
      <c r="A61" s="263"/>
      <c r="B61" s="117" t="s">
        <v>58</v>
      </c>
      <c r="C61" s="58">
        <f>CEILING(Overview!C46,16)</f>
        <v>576</v>
      </c>
      <c r="D61" s="64"/>
    </row>
    <row r="62" spans="1:7" x14ac:dyDescent="0.45">
      <c r="A62" s="263"/>
      <c r="B62" s="117" t="s">
        <v>73</v>
      </c>
      <c r="C62" s="58">
        <f>Overview!C44</f>
        <v>2</v>
      </c>
      <c r="D62" s="64"/>
    </row>
    <row r="63" spans="1:7" ht="16.5" thickBot="1" x14ac:dyDescent="0.5">
      <c r="A63" s="265"/>
      <c r="B63" s="115" t="s">
        <v>95</v>
      </c>
      <c r="C63" s="59">
        <f>IF(Overview!C47=1,0.5,1)</f>
        <v>1</v>
      </c>
      <c r="D63" s="65"/>
    </row>
    <row r="64" spans="1:7" x14ac:dyDescent="0.45">
      <c r="A64" s="266" t="s">
        <v>96</v>
      </c>
      <c r="B64" s="54" t="s">
        <v>93</v>
      </c>
      <c r="C64" s="57">
        <f>Overview!C48</f>
        <v>0</v>
      </c>
      <c r="D64" s="63"/>
    </row>
    <row r="65" spans="1:4" x14ac:dyDescent="0.45">
      <c r="A65" s="267"/>
      <c r="B65" s="56" t="s">
        <v>73</v>
      </c>
      <c r="C65" s="66">
        <v>0.25</v>
      </c>
      <c r="D65" s="67" t="s">
        <v>184</v>
      </c>
    </row>
    <row r="66" spans="1:4" x14ac:dyDescent="0.45">
      <c r="A66" s="256" t="s">
        <v>205</v>
      </c>
      <c r="B66" s="257"/>
      <c r="C66" s="6">
        <f>IF(Overview!C3="NVR",0,MAX(CEILING((YUVSIZE(C52,C53,C55)+C52*16+C53*16)*C54/1024,4),G58)*C51*C50)</f>
        <v>0</v>
      </c>
      <c r="D66" s="5"/>
    </row>
    <row r="67" spans="1:4" x14ac:dyDescent="0.45">
      <c r="A67" s="256" t="s">
        <v>127</v>
      </c>
      <c r="B67" s="257"/>
      <c r="C67" s="6">
        <f>CEILING((YUVSIZE(C56,C57,C59)*C58)/1024,4)*C50</f>
        <v>3240</v>
      </c>
      <c r="D67" s="5"/>
    </row>
    <row r="68" spans="1:4" x14ac:dyDescent="0.45">
      <c r="A68" s="256" t="s">
        <v>125</v>
      </c>
      <c r="B68" s="257"/>
      <c r="C68" s="6">
        <f>CEILING(YUVSIZE(C60,C61,C62)/1024,4)*C50</f>
        <v>812</v>
      </c>
      <c r="D68" s="5"/>
    </row>
    <row r="69" spans="1:4" x14ac:dyDescent="0.45">
      <c r="A69" s="256" t="s">
        <v>126</v>
      </c>
      <c r="B69" s="257"/>
      <c r="C69" s="6">
        <f>CEILING(C64*C56*C57*C65/1024,4)*C50</f>
        <v>0</v>
      </c>
      <c r="D69" s="5"/>
    </row>
    <row r="70" spans="1:4" x14ac:dyDescent="0.45">
      <c r="A70" s="256" t="s">
        <v>204</v>
      </c>
      <c r="B70" s="257"/>
      <c r="C70" s="6">
        <f>C68*C63*2*C50*Overview!C47</f>
        <v>0</v>
      </c>
      <c r="D70" s="5"/>
    </row>
  </sheetData>
  <mergeCells count="34">
    <mergeCell ref="A1:D1"/>
    <mergeCell ref="A18:A19"/>
    <mergeCell ref="A26:B26"/>
    <mergeCell ref="A5:A9"/>
    <mergeCell ref="A10:A13"/>
    <mergeCell ref="A4:B4"/>
    <mergeCell ref="A3:B3"/>
    <mergeCell ref="A14:A17"/>
    <mergeCell ref="A44:B44"/>
    <mergeCell ref="A45:B45"/>
    <mergeCell ref="A46:B46"/>
    <mergeCell ref="A43:B43"/>
    <mergeCell ref="A20:B20"/>
    <mergeCell ref="A21:B21"/>
    <mergeCell ref="A22:B22"/>
    <mergeCell ref="A23:B23"/>
    <mergeCell ref="A24:B24"/>
    <mergeCell ref="A37:A40"/>
    <mergeCell ref="A41:A42"/>
    <mergeCell ref="A27:B27"/>
    <mergeCell ref="A28:A32"/>
    <mergeCell ref="A33:A36"/>
    <mergeCell ref="A66:B66"/>
    <mergeCell ref="A47:B47"/>
    <mergeCell ref="A49:B49"/>
    <mergeCell ref="A50:B50"/>
    <mergeCell ref="A70:B70"/>
    <mergeCell ref="A69:B69"/>
    <mergeCell ref="A68:B68"/>
    <mergeCell ref="A67:B67"/>
    <mergeCell ref="A51:A55"/>
    <mergeCell ref="A56:A59"/>
    <mergeCell ref="A60:A63"/>
    <mergeCell ref="A64:A65"/>
  </mergeCells>
  <phoneticPr fontId="2" type="noConversion"/>
  <dataValidations count="1">
    <dataValidation type="list" allowBlank="1" showInputMessage="1" showErrorMessage="1" sqref="C51" xr:uid="{00000000-0002-0000-0400-000000000000}">
      <formula1>"0,1"</formula1>
    </dataValidation>
  </dataValidations>
  <pageMargins left="0.7" right="0.7" top="0.75" bottom="0.75" header="0.3" footer="0.3"/>
  <pageSetup paperSize="148"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工作表1"/>
  <dimension ref="A1:Q83"/>
  <sheetViews>
    <sheetView zoomScaleNormal="100" workbookViewId="0">
      <pane ySplit="1" topLeftCell="A41" activePane="bottomLeft" state="frozen"/>
      <selection pane="bottomLeft" activeCell="F60" sqref="F60"/>
    </sheetView>
  </sheetViews>
  <sheetFormatPr defaultRowHeight="16.149999999999999" x14ac:dyDescent="0.45"/>
  <cols>
    <col min="1" max="1" width="27" customWidth="1"/>
    <col min="2" max="2" width="9.46484375" style="4" customWidth="1"/>
    <col min="3" max="3" width="8.86328125" style="4"/>
    <col min="4" max="4" width="1.46484375" customWidth="1"/>
    <col min="5" max="5" width="27.19921875" customWidth="1"/>
    <col min="7" max="7" width="9.33203125" customWidth="1"/>
    <col min="8" max="8" width="1.33203125" customWidth="1"/>
    <col min="9" max="9" width="27.1328125" customWidth="1"/>
    <col min="10" max="10" width="9.1328125" customWidth="1"/>
    <col min="12" max="12" width="1.1328125" customWidth="1"/>
    <col min="13" max="13" width="27.46484375" customWidth="1"/>
  </cols>
  <sheetData>
    <row r="1" spans="1:17" x14ac:dyDescent="0.45">
      <c r="A1" s="268" t="s">
        <v>290</v>
      </c>
      <c r="B1" s="269"/>
      <c r="C1" s="270"/>
      <c r="E1" s="268" t="s">
        <v>287</v>
      </c>
      <c r="F1" s="269"/>
      <c r="G1" s="270"/>
      <c r="I1" s="271" t="s">
        <v>288</v>
      </c>
      <c r="J1" s="272"/>
      <c r="K1" s="272"/>
      <c r="M1" s="273" t="s">
        <v>289</v>
      </c>
      <c r="N1" s="274"/>
      <c r="O1" s="274"/>
    </row>
    <row r="2" spans="1:17" ht="10.25" customHeight="1" x14ac:dyDescent="0.45">
      <c r="C2" s="109"/>
      <c r="D2" s="14"/>
      <c r="E2" s="45"/>
      <c r="F2" s="46"/>
      <c r="G2" s="46"/>
      <c r="I2" s="46"/>
      <c r="J2" s="46"/>
      <c r="K2" s="46"/>
      <c r="L2" s="46"/>
      <c r="M2" s="47"/>
      <c r="N2" s="45"/>
      <c r="O2" s="46"/>
      <c r="Q2" s="2"/>
    </row>
    <row r="3" spans="1:17" x14ac:dyDescent="0.45">
      <c r="A3" s="38" t="s">
        <v>60</v>
      </c>
      <c r="B3" s="39" t="s">
        <v>54</v>
      </c>
      <c r="C3" s="39" t="s">
        <v>62</v>
      </c>
      <c r="E3" s="38" t="s">
        <v>35</v>
      </c>
      <c r="F3" s="39" t="s">
        <v>54</v>
      </c>
      <c r="G3" s="39" t="s">
        <v>62</v>
      </c>
      <c r="I3" s="38" t="s">
        <v>35</v>
      </c>
      <c r="J3" s="39" t="s">
        <v>54</v>
      </c>
      <c r="K3" s="39" t="s">
        <v>62</v>
      </c>
      <c r="M3" s="38" t="s">
        <v>35</v>
      </c>
      <c r="N3" s="39" t="s">
        <v>54</v>
      </c>
      <c r="O3" s="39" t="s">
        <v>62</v>
      </c>
    </row>
    <row r="4" spans="1:17" x14ac:dyDescent="0.45">
      <c r="A4" s="35" t="s">
        <v>5</v>
      </c>
      <c r="B4" s="6">
        <f>Overview!C79</f>
        <v>0</v>
      </c>
      <c r="C4" s="6"/>
      <c r="E4" s="35" t="s">
        <v>5</v>
      </c>
      <c r="F4" s="6">
        <f>Overview!G79</f>
        <v>4</v>
      </c>
      <c r="G4" s="5"/>
      <c r="I4" s="35" t="s">
        <v>5</v>
      </c>
      <c r="J4" s="6">
        <f>Overview!K79</f>
        <v>0</v>
      </c>
      <c r="K4" s="5"/>
      <c r="M4" s="35" t="s">
        <v>5</v>
      </c>
      <c r="N4" s="6">
        <f>Overview!O79</f>
        <v>0</v>
      </c>
      <c r="O4" s="5"/>
    </row>
    <row r="5" spans="1:17" x14ac:dyDescent="0.45">
      <c r="A5" s="35" t="s">
        <v>57</v>
      </c>
      <c r="B5" s="6">
        <f>CEILING(Overview!C80,16)</f>
        <v>1920</v>
      </c>
      <c r="C5" s="6"/>
      <c r="E5" s="35" t="s">
        <v>57</v>
      </c>
      <c r="F5" s="6">
        <f>CEILING(Overview!G80,16)</f>
        <v>1920</v>
      </c>
      <c r="G5" s="5"/>
      <c r="I5" s="35" t="s">
        <v>57</v>
      </c>
      <c r="J5" s="6">
        <f>CEILING(Overview!K80,16)</f>
        <v>1920</v>
      </c>
      <c r="K5" s="5"/>
      <c r="M5" s="35" t="s">
        <v>57</v>
      </c>
      <c r="N5" s="6">
        <f>CEILING(Overview!O80,16)</f>
        <v>1920</v>
      </c>
      <c r="O5" s="5"/>
    </row>
    <row r="6" spans="1:17" x14ac:dyDescent="0.45">
      <c r="A6" s="35" t="s">
        <v>58</v>
      </c>
      <c r="B6" s="6">
        <f>CEILING(Overview!C81,16)</f>
        <v>1088</v>
      </c>
      <c r="C6" s="6"/>
      <c r="E6" s="35" t="s">
        <v>58</v>
      </c>
      <c r="F6" s="6">
        <f>CEILING(Overview!G81,16)</f>
        <v>1088</v>
      </c>
      <c r="G6" s="5"/>
      <c r="I6" s="35" t="s">
        <v>58</v>
      </c>
      <c r="J6" s="6">
        <f>CEILING(Overview!K81,16)</f>
        <v>1088</v>
      </c>
      <c r="K6" s="5"/>
      <c r="M6" s="35" t="s">
        <v>58</v>
      </c>
      <c r="N6" s="6">
        <f>CEILING(Overview!O81,16)</f>
        <v>1088</v>
      </c>
      <c r="O6" s="5"/>
    </row>
    <row r="7" spans="1:17" x14ac:dyDescent="0.45">
      <c r="A7" s="35" t="s">
        <v>3</v>
      </c>
      <c r="B7" s="6">
        <f>Overview!C82</f>
        <v>2</v>
      </c>
      <c r="C7" s="6"/>
      <c r="E7" s="35" t="s">
        <v>3</v>
      </c>
      <c r="F7" s="6">
        <f>Overview!G82</f>
        <v>3</v>
      </c>
      <c r="G7" s="5"/>
      <c r="I7" s="35" t="s">
        <v>3</v>
      </c>
      <c r="J7" s="6">
        <f>Overview!K82</f>
        <v>4</v>
      </c>
      <c r="K7" s="5"/>
      <c r="M7" s="35" t="s">
        <v>3</v>
      </c>
      <c r="N7" s="6">
        <f>Overview!O82</f>
        <v>4</v>
      </c>
      <c r="O7" s="5"/>
    </row>
    <row r="8" spans="1:17" x14ac:dyDescent="0.45">
      <c r="A8" s="35" t="s">
        <v>59</v>
      </c>
      <c r="B8" s="6">
        <f>Overview!C88</f>
        <v>8192</v>
      </c>
      <c r="C8" s="6"/>
      <c r="E8" s="35" t="s">
        <v>59</v>
      </c>
      <c r="F8" s="6">
        <f>Overview!G88</f>
        <v>8192</v>
      </c>
      <c r="G8" s="5"/>
      <c r="I8" s="35" t="s">
        <v>59</v>
      </c>
      <c r="J8" s="6">
        <f>Overview!K88</f>
        <v>8192</v>
      </c>
      <c r="K8" s="5"/>
      <c r="M8" s="35" t="s">
        <v>59</v>
      </c>
      <c r="N8" s="6">
        <f>Overview!O88</f>
        <v>8192</v>
      </c>
      <c r="O8" s="5"/>
    </row>
    <row r="9" spans="1:17" x14ac:dyDescent="0.45">
      <c r="A9" s="35" t="s">
        <v>73</v>
      </c>
      <c r="B9" s="6">
        <f>Overview!C83</f>
        <v>1.125</v>
      </c>
      <c r="C9" s="6"/>
      <c r="E9" s="35" t="s">
        <v>73</v>
      </c>
      <c r="F9" s="6">
        <f>Overview!G83</f>
        <v>1.125</v>
      </c>
      <c r="G9" s="6"/>
      <c r="I9" s="35" t="s">
        <v>73</v>
      </c>
      <c r="J9" s="6">
        <f>Overview!K83</f>
        <v>1.125</v>
      </c>
      <c r="K9" s="6"/>
      <c r="M9" s="35" t="s">
        <v>73</v>
      </c>
      <c r="N9" s="6">
        <f>Overview!O83</f>
        <v>1.125</v>
      </c>
      <c r="O9" s="6"/>
    </row>
    <row r="10" spans="1:17" x14ac:dyDescent="0.45">
      <c r="A10" s="35" t="s">
        <v>1</v>
      </c>
      <c r="B10" s="6">
        <f>Overview!C89</f>
        <v>0.3</v>
      </c>
      <c r="C10" s="6"/>
      <c r="E10" s="35" t="s">
        <v>1</v>
      </c>
      <c r="F10" s="6">
        <f>Overview!G89</f>
        <v>0.3</v>
      </c>
      <c r="G10" s="5"/>
      <c r="I10" s="35" t="s">
        <v>1</v>
      </c>
      <c r="J10" s="6">
        <f>B10</f>
        <v>0.3</v>
      </c>
      <c r="K10" s="5"/>
      <c r="M10" s="35" t="s">
        <v>1</v>
      </c>
      <c r="N10" s="6">
        <f>B10</f>
        <v>0.3</v>
      </c>
      <c r="O10" s="5"/>
    </row>
    <row r="11" spans="1:17" x14ac:dyDescent="0.45">
      <c r="A11" s="41" t="s">
        <v>20</v>
      </c>
      <c r="B11" s="6">
        <f>Overview!C90</f>
        <v>7</v>
      </c>
      <c r="C11" s="6"/>
      <c r="E11" s="41" t="s">
        <v>20</v>
      </c>
      <c r="F11" s="6">
        <f>Overview!G90</f>
        <v>7</v>
      </c>
      <c r="G11" s="5"/>
      <c r="I11" s="41" t="s">
        <v>20</v>
      </c>
      <c r="J11" s="6">
        <f>Overview!K90</f>
        <v>7</v>
      </c>
      <c r="K11" s="5"/>
      <c r="M11" s="41" t="s">
        <v>20</v>
      </c>
      <c r="N11" s="6">
        <f>Overview!O90</f>
        <v>7</v>
      </c>
      <c r="O11" s="5"/>
    </row>
    <row r="12" spans="1:17" x14ac:dyDescent="0.45">
      <c r="A12" s="41" t="s">
        <v>6</v>
      </c>
      <c r="B12" s="6">
        <f>Overview!C84</f>
        <v>3</v>
      </c>
      <c r="C12" s="110"/>
      <c r="E12" s="41" t="s">
        <v>6</v>
      </c>
      <c r="F12" s="6">
        <f>Overview!G84</f>
        <v>1</v>
      </c>
      <c r="G12" s="3"/>
      <c r="I12" s="41" t="s">
        <v>6</v>
      </c>
      <c r="J12" s="6">
        <f>Overview!K84</f>
        <v>3</v>
      </c>
      <c r="K12" s="3"/>
      <c r="M12" s="41" t="s">
        <v>6</v>
      </c>
      <c r="N12" s="6">
        <f>Overview!O84</f>
        <v>3</v>
      </c>
      <c r="O12" s="3"/>
    </row>
    <row r="13" spans="1:17" x14ac:dyDescent="0.45">
      <c r="A13" s="41" t="s">
        <v>240</v>
      </c>
      <c r="B13" s="6">
        <f>CEILING(Overview!C85,16)</f>
        <v>3840</v>
      </c>
      <c r="C13" s="110"/>
      <c r="E13" s="41" t="s">
        <v>240</v>
      </c>
      <c r="F13" s="6">
        <f>CEILING(Overview!G85,16)</f>
        <v>1920</v>
      </c>
      <c r="G13" s="3"/>
      <c r="I13" s="41" t="s">
        <v>240</v>
      </c>
      <c r="J13" s="6">
        <f>CEILING(Overview!K85,16)</f>
        <v>3840</v>
      </c>
      <c r="K13" s="3"/>
      <c r="M13" s="41" t="s">
        <v>240</v>
      </c>
      <c r="N13" s="6">
        <f>CEILING(Overview!O85,16)</f>
        <v>3840</v>
      </c>
      <c r="O13" s="3"/>
    </row>
    <row r="14" spans="1:17" x14ac:dyDescent="0.45">
      <c r="A14" s="41" t="s">
        <v>241</v>
      </c>
      <c r="B14" s="6">
        <f>CEILING(Overview!C86,16)</f>
        <v>2160</v>
      </c>
      <c r="C14" s="110"/>
      <c r="E14" s="41" t="s">
        <v>241</v>
      </c>
      <c r="F14" s="6">
        <f>CEILING(Overview!G86,16)</f>
        <v>1088</v>
      </c>
      <c r="G14" s="3"/>
      <c r="I14" s="41" t="s">
        <v>241</v>
      </c>
      <c r="J14" s="6">
        <f>CEILING(Overview!K86,16)</f>
        <v>2160</v>
      </c>
      <c r="K14" s="3"/>
      <c r="M14" s="41" t="s">
        <v>241</v>
      </c>
      <c r="N14" s="6">
        <f>CEILING(Overview!O86,16)</f>
        <v>2160</v>
      </c>
      <c r="O14" s="3"/>
    </row>
    <row r="15" spans="1:17" x14ac:dyDescent="0.45">
      <c r="A15" s="35" t="s">
        <v>143</v>
      </c>
      <c r="B15" s="6">
        <f>IF(B4&gt;0, CEILING(YUVSIZE(B5,B6,B9)/1024,4),0)</f>
        <v>0</v>
      </c>
      <c r="C15" s="6"/>
      <c r="E15" s="35" t="s">
        <v>143</v>
      </c>
      <c r="F15" s="6">
        <f>IF(F4&gt;0, CEILING(YUVSIZE(F5,F6,F9)/1024,4),0)</f>
        <v>2296</v>
      </c>
      <c r="G15" s="5"/>
      <c r="I15" s="35" t="s">
        <v>143</v>
      </c>
      <c r="J15" s="6">
        <f>IF(J4&gt;0, CEILING(YUVSIZE(J5,J6,J9)/1024,4),0)</f>
        <v>0</v>
      </c>
      <c r="K15" s="5"/>
      <c r="M15" s="35" t="s">
        <v>143</v>
      </c>
      <c r="N15" s="6">
        <f>IF(N4&gt;0, CEILING(YUVSIZE(N5,N6,N9)/1024,4),0)</f>
        <v>0</v>
      </c>
      <c r="O15" s="5"/>
    </row>
    <row r="16" spans="1:17" x14ac:dyDescent="0.45">
      <c r="A16" s="36" t="s">
        <v>55</v>
      </c>
      <c r="B16" s="6">
        <f>IF(B83*B4*B76&gt;B4*B7*B15,B83*B4,B4*B7*B15)</f>
        <v>0</v>
      </c>
      <c r="C16" s="6"/>
      <c r="E16" s="36" t="s">
        <v>55</v>
      </c>
      <c r="F16" s="6">
        <f>IF(F83*F4*F76&gt;F4*F7*F15,F83*F4,F4*F7*F15)</f>
        <v>27552</v>
      </c>
      <c r="G16" s="5"/>
      <c r="I16" s="36" t="s">
        <v>55</v>
      </c>
      <c r="J16" s="6">
        <f>IF(J83*J4*J76&gt;J4*J7*J15,J83*J4,J4*J7*J15)</f>
        <v>0</v>
      </c>
      <c r="K16" s="5"/>
      <c r="M16" s="36" t="s">
        <v>55</v>
      </c>
      <c r="N16" s="6">
        <f>IF(N83*N4*N76&gt;N4*N7*N15,N83*N4,N4*N7*N15)</f>
        <v>0</v>
      </c>
      <c r="O16" s="5"/>
    </row>
    <row r="17" spans="1:15" x14ac:dyDescent="0.45">
      <c r="A17" s="36" t="s">
        <v>56</v>
      </c>
      <c r="B17" s="6">
        <f>CEILING((((ENC_BS_SIZE(B5,B6,B10)*2)/1024+(B8/8/25)*(B11-2)))*B4,4)+F17+J17+N17</f>
        <v>6328</v>
      </c>
      <c r="C17" s="6"/>
      <c r="E17" s="36" t="s">
        <v>56</v>
      </c>
      <c r="F17" s="6">
        <f>CEILING((((ENC_BS_SIZE(F5,F6,F10)*2)/1024+(F8/8/25)*(F11-2)))*F4,4)</f>
        <v>6328</v>
      </c>
      <c r="G17" s="5"/>
      <c r="I17" s="36" t="s">
        <v>56</v>
      </c>
      <c r="J17" s="6">
        <f>IF(Overview!$C$2="636+",CEILING((((ENC_BS_SIZE(J5,J6,J10)*2)/1024+(J8/8/25)*(J11-2)))*J4,4),0)</f>
        <v>0</v>
      </c>
      <c r="K17" s="5"/>
      <c r="M17" s="36" t="s">
        <v>56</v>
      </c>
      <c r="N17" s="6">
        <f>IF(Overview!$C$2="636+",CEILING((((ENC_BS_SIZE(N5,N6,N10)*2)/1024+(N8/8/25)*(N11-2)))*N4,4),0)</f>
        <v>0</v>
      </c>
      <c r="O17" s="5"/>
    </row>
    <row r="18" spans="1:15" x14ac:dyDescent="0.45">
      <c r="A18" s="36" t="s">
        <v>145</v>
      </c>
      <c r="B18" s="6">
        <f>IF(B4&gt;0,CEILING(CEILING(B13,64)*CEILING(B14,64)*1.5*C18/1024, 4),0)</f>
        <v>0</v>
      </c>
      <c r="C18" s="6">
        <v>1.1000000000000001</v>
      </c>
      <c r="E18" s="36" t="s">
        <v>145</v>
      </c>
      <c r="F18" s="6">
        <f>IF(F4&gt;0,CEILING(CEILING(F13,64)*CEILING(F14,64)*1.5*G18/1024, 4),0)</f>
        <v>3368</v>
      </c>
      <c r="G18" s="6">
        <f>C18</f>
        <v>1.1000000000000001</v>
      </c>
      <c r="I18" s="36" t="s">
        <v>145</v>
      </c>
      <c r="J18" s="6">
        <f>IF(J4&gt;0,CEILING(CEILING(J13,64)*CEILING(J14,64)*1.5*K18/1024, 4),0)</f>
        <v>0</v>
      </c>
      <c r="K18" s="6">
        <f>C18</f>
        <v>1.1000000000000001</v>
      </c>
      <c r="M18" s="36" t="s">
        <v>145</v>
      </c>
      <c r="N18" s="6">
        <f>IF(N4&gt;0,CEILING(CEILING(N13,64)*CEILING(N14,64)*1.5*O18/1024, 4),0)</f>
        <v>0</v>
      </c>
      <c r="O18" s="6">
        <f>C18</f>
        <v>1.1000000000000001</v>
      </c>
    </row>
    <row r="19" spans="1:15" x14ac:dyDescent="0.45">
      <c r="A19" s="68" t="s">
        <v>146</v>
      </c>
      <c r="B19" s="6">
        <f>B4*B12</f>
        <v>0</v>
      </c>
      <c r="C19" s="6"/>
      <c r="E19" s="68" t="s">
        <v>146</v>
      </c>
      <c r="F19" s="6">
        <f>F4*F12</f>
        <v>4</v>
      </c>
      <c r="G19" s="5"/>
      <c r="I19" s="68" t="s">
        <v>146</v>
      </c>
      <c r="J19" s="6">
        <f>J4*J12</f>
        <v>0</v>
      </c>
      <c r="K19" s="5"/>
      <c r="M19" s="68" t="s">
        <v>146</v>
      </c>
      <c r="N19" s="6">
        <f>N4*N12</f>
        <v>0</v>
      </c>
      <c r="O19" s="5"/>
    </row>
    <row r="20" spans="1:15" x14ac:dyDescent="0.45">
      <c r="A20" s="114" t="s">
        <v>186</v>
      </c>
      <c r="B20" s="6">
        <f>Overview!C87</f>
        <v>1</v>
      </c>
      <c r="C20" s="6"/>
      <c r="E20" s="116" t="s">
        <v>186</v>
      </c>
      <c r="F20" s="6">
        <f>Overview!G87</f>
        <v>1</v>
      </c>
      <c r="G20" s="5"/>
      <c r="I20" s="116" t="s">
        <v>186</v>
      </c>
      <c r="J20" s="6">
        <f>Overview!K87</f>
        <v>1</v>
      </c>
      <c r="K20" s="5"/>
      <c r="M20" s="116" t="s">
        <v>186</v>
      </c>
      <c r="N20" s="6">
        <f>Overview!O87</f>
        <v>1</v>
      </c>
      <c r="O20" s="5"/>
    </row>
    <row r="21" spans="1:15" x14ac:dyDescent="0.45">
      <c r="A21" s="105" t="s">
        <v>179</v>
      </c>
      <c r="B21" s="6">
        <f>IF(B4&gt;0,B20*CEILING((CEILING(B13,128)*CEILING(B14,64)*1.5)*C21/1024, 4),0)</f>
        <v>0</v>
      </c>
      <c r="C21" s="6">
        <v>0.76</v>
      </c>
      <c r="E21" s="105" t="s">
        <v>179</v>
      </c>
      <c r="F21" s="6">
        <f>IF(F4&gt;0,F20*CEILING((CEILING(F13,128)*CEILING(F14,64)*1.5)*G21/1024, 4),0)</f>
        <v>2328</v>
      </c>
      <c r="G21" s="6">
        <f>C21</f>
        <v>0.76</v>
      </c>
      <c r="I21" s="105" t="s">
        <v>179</v>
      </c>
      <c r="J21" s="6">
        <f>IF(J4&gt;0,J20*CEILING((CEILING(J13,128)*CEILING(J14,64)*1.5)*K21/1024, 4),0)</f>
        <v>0</v>
      </c>
      <c r="K21" s="6">
        <f>C21</f>
        <v>0.76</v>
      </c>
      <c r="M21" s="105" t="s">
        <v>179</v>
      </c>
      <c r="N21" s="6">
        <f>IF(N4&gt;0,N20*CEILING((CEILING(N13,128)*CEILING(N14,64)*1.5)*O21/1024, 4),0)</f>
        <v>0</v>
      </c>
      <c r="O21" s="6">
        <f>C21</f>
        <v>0.76</v>
      </c>
    </row>
    <row r="22" spans="1:15" x14ac:dyDescent="0.45">
      <c r="A22" s="105" t="s">
        <v>180</v>
      </c>
      <c r="B22" s="6">
        <f>B4</f>
        <v>0</v>
      </c>
      <c r="C22" s="6"/>
      <c r="E22" s="105" t="s">
        <v>180</v>
      </c>
      <c r="F22" s="6">
        <f>F4</f>
        <v>4</v>
      </c>
      <c r="G22" s="5"/>
      <c r="I22" s="105" t="s">
        <v>180</v>
      </c>
      <c r="J22" s="6">
        <f>J4</f>
        <v>0</v>
      </c>
      <c r="K22" s="5"/>
      <c r="M22" s="105" t="s">
        <v>180</v>
      </c>
      <c r="N22" s="6">
        <f>N4</f>
        <v>0</v>
      </c>
      <c r="O22" s="5"/>
    </row>
    <row r="24" spans="1:15" x14ac:dyDescent="0.45">
      <c r="A24" s="38" t="s">
        <v>34</v>
      </c>
      <c r="B24" s="39" t="s">
        <v>54</v>
      </c>
      <c r="C24" s="39" t="s">
        <v>62</v>
      </c>
      <c r="E24" s="38" t="s">
        <v>34</v>
      </c>
      <c r="F24" s="39" t="s">
        <v>54</v>
      </c>
      <c r="G24" s="39" t="s">
        <v>62</v>
      </c>
      <c r="I24" s="38" t="s">
        <v>34</v>
      </c>
      <c r="J24" s="39" t="s">
        <v>54</v>
      </c>
      <c r="K24" s="39" t="s">
        <v>62</v>
      </c>
      <c r="M24" s="38" t="s">
        <v>34</v>
      </c>
      <c r="N24" s="39" t="s">
        <v>54</v>
      </c>
      <c r="O24" s="39" t="s">
        <v>62</v>
      </c>
    </row>
    <row r="25" spans="1:15" x14ac:dyDescent="0.45">
      <c r="A25" s="35" t="s">
        <v>5</v>
      </c>
      <c r="B25" s="6">
        <f>Overview!C91</f>
        <v>0</v>
      </c>
      <c r="C25" s="6"/>
      <c r="E25" s="35" t="s">
        <v>5</v>
      </c>
      <c r="F25" s="6">
        <f>Overview!G91</f>
        <v>0</v>
      </c>
      <c r="G25" s="5"/>
      <c r="I25" s="35" t="s">
        <v>5</v>
      </c>
      <c r="J25" s="6">
        <f>Overview!K91</f>
        <v>0</v>
      </c>
      <c r="K25" s="5"/>
      <c r="M25" s="35" t="s">
        <v>5</v>
      </c>
      <c r="N25" s="6">
        <f>Overview!O91</f>
        <v>0</v>
      </c>
      <c r="O25" s="5"/>
    </row>
    <row r="26" spans="1:15" x14ac:dyDescent="0.45">
      <c r="A26" s="35" t="s">
        <v>57</v>
      </c>
      <c r="B26" s="6">
        <f>CEILING(Overview!C92,16)</f>
        <v>2560</v>
      </c>
      <c r="C26" s="6"/>
      <c r="E26" s="35" t="s">
        <v>57</v>
      </c>
      <c r="F26" s="6">
        <f>CEILING(Overview!G92,16)</f>
        <v>2560</v>
      </c>
      <c r="G26" s="5"/>
      <c r="I26" s="35" t="s">
        <v>57</v>
      </c>
      <c r="J26" s="6">
        <f>CEILING(Overview!K92,16)</f>
        <v>2560</v>
      </c>
      <c r="K26" s="5"/>
      <c r="M26" s="35" t="s">
        <v>57</v>
      </c>
      <c r="N26" s="6">
        <f>CEILING(Overview!O92,16)</f>
        <v>2560</v>
      </c>
      <c r="O26" s="5"/>
    </row>
    <row r="27" spans="1:15" x14ac:dyDescent="0.45">
      <c r="A27" s="35" t="s">
        <v>58</v>
      </c>
      <c r="B27" s="6">
        <f>CEILING(Overview!C93,16)</f>
        <v>1440</v>
      </c>
      <c r="C27" s="6"/>
      <c r="E27" s="35" t="s">
        <v>58</v>
      </c>
      <c r="F27" s="6">
        <f>CEILING(Overview!G93,16)</f>
        <v>1440</v>
      </c>
      <c r="G27" s="5"/>
      <c r="I27" s="35" t="s">
        <v>58</v>
      </c>
      <c r="J27" s="6">
        <f>CEILING(Overview!K93,16)</f>
        <v>1440</v>
      </c>
      <c r="K27" s="5"/>
      <c r="M27" s="35" t="s">
        <v>58</v>
      </c>
      <c r="N27" s="6">
        <f>CEILING(Overview!O93,16)</f>
        <v>1440</v>
      </c>
      <c r="O27" s="5"/>
    </row>
    <row r="28" spans="1:15" x14ac:dyDescent="0.45">
      <c r="A28" s="35" t="s">
        <v>3</v>
      </c>
      <c r="B28" s="6">
        <f>Overview!C94</f>
        <v>2</v>
      </c>
      <c r="C28" s="6"/>
      <c r="E28" s="35" t="s">
        <v>3</v>
      </c>
      <c r="F28" s="6">
        <f>Overview!G94</f>
        <v>2</v>
      </c>
      <c r="G28" s="5"/>
      <c r="I28" s="35" t="s">
        <v>3</v>
      </c>
      <c r="J28" s="6">
        <f>Overview!K94</f>
        <v>2</v>
      </c>
      <c r="K28" s="5"/>
      <c r="M28" s="35" t="s">
        <v>3</v>
      </c>
      <c r="N28" s="6">
        <f>Overview!O94</f>
        <v>2</v>
      </c>
      <c r="O28" s="5"/>
    </row>
    <row r="29" spans="1:15" x14ac:dyDescent="0.45">
      <c r="A29" s="35" t="s">
        <v>59</v>
      </c>
      <c r="B29" s="6">
        <f>Overview!C100</f>
        <v>8192</v>
      </c>
      <c r="C29" s="6"/>
      <c r="E29" s="35" t="s">
        <v>59</v>
      </c>
      <c r="F29" s="6">
        <f>Overview!G100</f>
        <v>8192</v>
      </c>
      <c r="G29" s="5"/>
      <c r="I29" s="35" t="s">
        <v>59</v>
      </c>
      <c r="J29" s="6">
        <f>Overview!K100</f>
        <v>8192</v>
      </c>
      <c r="K29" s="5"/>
      <c r="M29" s="35" t="s">
        <v>59</v>
      </c>
      <c r="N29" s="6">
        <f>Overview!O100</f>
        <v>8192</v>
      </c>
      <c r="O29" s="5"/>
    </row>
    <row r="30" spans="1:15" x14ac:dyDescent="0.45">
      <c r="A30" s="35" t="s">
        <v>73</v>
      </c>
      <c r="B30" s="6">
        <f>Overview!C95</f>
        <v>1.5</v>
      </c>
      <c r="C30" s="6"/>
      <c r="E30" s="35" t="s">
        <v>73</v>
      </c>
      <c r="F30" s="6">
        <f>Overview!G95</f>
        <v>1.5</v>
      </c>
      <c r="G30" s="6"/>
      <c r="I30" s="35" t="s">
        <v>73</v>
      </c>
      <c r="J30" s="6">
        <f>Overview!K95</f>
        <v>1.5</v>
      </c>
      <c r="K30" s="6"/>
      <c r="M30" s="35" t="s">
        <v>73</v>
      </c>
      <c r="N30" s="6">
        <f>Overview!O95</f>
        <v>1.5</v>
      </c>
      <c r="O30" s="6"/>
    </row>
    <row r="31" spans="1:15" x14ac:dyDescent="0.45">
      <c r="A31" s="35" t="s">
        <v>1</v>
      </c>
      <c r="B31" s="6">
        <f>Overview!C101</f>
        <v>0.3</v>
      </c>
      <c r="C31" s="6"/>
      <c r="E31" s="35" t="s">
        <v>1</v>
      </c>
      <c r="F31" s="6">
        <f>Overview!G101</f>
        <v>0.3</v>
      </c>
      <c r="G31" s="5"/>
      <c r="I31" s="35" t="s">
        <v>1</v>
      </c>
      <c r="J31" s="6">
        <f>Overview!K101</f>
        <v>0.3</v>
      </c>
      <c r="K31" s="5"/>
      <c r="M31" s="35" t="s">
        <v>1</v>
      </c>
      <c r="N31" s="6">
        <f>Overview!O101</f>
        <v>0.3</v>
      </c>
      <c r="O31" s="5"/>
    </row>
    <row r="32" spans="1:15" x14ac:dyDescent="0.45">
      <c r="A32" s="41" t="s">
        <v>20</v>
      </c>
      <c r="B32" s="6">
        <f>Overview!C102</f>
        <v>7</v>
      </c>
      <c r="C32" s="6"/>
      <c r="E32" s="41" t="s">
        <v>20</v>
      </c>
      <c r="F32" s="6">
        <f>Overview!G102</f>
        <v>7</v>
      </c>
      <c r="G32" s="5"/>
      <c r="I32" s="41" t="s">
        <v>20</v>
      </c>
      <c r="J32" s="6">
        <f>Overview!K102</f>
        <v>7</v>
      </c>
      <c r="K32" s="5"/>
      <c r="M32" s="41" t="s">
        <v>20</v>
      </c>
      <c r="N32" s="6">
        <f>Overview!O102</f>
        <v>7</v>
      </c>
      <c r="O32" s="5"/>
    </row>
    <row r="33" spans="1:15" x14ac:dyDescent="0.45">
      <c r="A33" s="41" t="s">
        <v>6</v>
      </c>
      <c r="B33" s="6">
        <f>Overview!C96</f>
        <v>3</v>
      </c>
      <c r="C33" s="6"/>
      <c r="E33" s="41" t="s">
        <v>6</v>
      </c>
      <c r="F33" s="6">
        <f>Overview!G96</f>
        <v>3</v>
      </c>
      <c r="G33" s="3"/>
      <c r="I33" s="41" t="s">
        <v>6</v>
      </c>
      <c r="J33" s="6">
        <f>Overview!K96</f>
        <v>3</v>
      </c>
      <c r="K33" s="3"/>
      <c r="M33" s="41" t="s">
        <v>6</v>
      </c>
      <c r="N33" s="6">
        <f>Overview!O96</f>
        <v>3</v>
      </c>
      <c r="O33" s="3"/>
    </row>
    <row r="34" spans="1:15" x14ac:dyDescent="0.45">
      <c r="A34" s="41" t="s">
        <v>240</v>
      </c>
      <c r="B34" s="6">
        <f>CEILING(Overview!C97,16)</f>
        <v>2560</v>
      </c>
      <c r="C34" s="6"/>
      <c r="E34" s="41" t="s">
        <v>240</v>
      </c>
      <c r="F34" s="6">
        <f>CEILING(Overview!G97,16)</f>
        <v>2560</v>
      </c>
      <c r="G34" s="3"/>
      <c r="I34" s="41" t="s">
        <v>240</v>
      </c>
      <c r="J34" s="6">
        <f>CEILING(Overview!K97,16)</f>
        <v>2560</v>
      </c>
      <c r="K34" s="3"/>
      <c r="M34" s="41" t="s">
        <v>240</v>
      </c>
      <c r="N34" s="6">
        <f>CEILING(Overview!O97,16)</f>
        <v>2560</v>
      </c>
      <c r="O34" s="3"/>
    </row>
    <row r="35" spans="1:15" x14ac:dyDescent="0.45">
      <c r="A35" s="41" t="s">
        <v>241</v>
      </c>
      <c r="B35" s="6">
        <f>CEILING(Overview!C98,16)</f>
        <v>1440</v>
      </c>
      <c r="C35" s="6"/>
      <c r="E35" s="41" t="s">
        <v>241</v>
      </c>
      <c r="F35" s="6">
        <f>CEILING(Overview!G98,16)</f>
        <v>1440</v>
      </c>
      <c r="G35" s="3"/>
      <c r="I35" s="41" t="s">
        <v>241</v>
      </c>
      <c r="J35" s="6">
        <f>CEILING(Overview!K98,16)</f>
        <v>1440</v>
      </c>
      <c r="K35" s="3"/>
      <c r="M35" s="41" t="s">
        <v>241</v>
      </c>
      <c r="N35" s="6">
        <f>CEILING(Overview!O98,16)</f>
        <v>1440</v>
      </c>
      <c r="O35" s="3"/>
    </row>
    <row r="36" spans="1:15" x14ac:dyDescent="0.45">
      <c r="A36" s="35" t="s">
        <v>143</v>
      </c>
      <c r="B36" s="6">
        <f>IF(B25&gt;0,CEILING(YUVSIZE(B26,B27,B30)/1024,4),0)</f>
        <v>0</v>
      </c>
      <c r="C36" s="6"/>
      <c r="E36" s="35" t="s">
        <v>143</v>
      </c>
      <c r="F36" s="6">
        <f>IF(F25&gt;0,CEILING(YUVSIZE(F26,F27,F30)/1024,4),0)</f>
        <v>0</v>
      </c>
      <c r="G36" s="5"/>
      <c r="I36" s="35" t="s">
        <v>143</v>
      </c>
      <c r="J36" s="6">
        <f>IF(J25&gt;0,CEILING(YUVSIZE(J26,J27,J30)/1024,4),0)</f>
        <v>0</v>
      </c>
      <c r="K36" s="5"/>
      <c r="M36" s="35" t="s">
        <v>143</v>
      </c>
      <c r="N36" s="6">
        <f>IF(N25&gt;0,CEILING(YUVSIZE(N26,N27,N30)/1024,4),0)</f>
        <v>0</v>
      </c>
      <c r="O36" s="5"/>
    </row>
    <row r="37" spans="1:15" x14ac:dyDescent="0.45">
      <c r="A37" s="36" t="s">
        <v>55</v>
      </c>
      <c r="B37" s="6">
        <f>IF(B76*B83*B25&gt;B25*B28*B36,B83*B25,B25*B28*B36)</f>
        <v>0</v>
      </c>
      <c r="C37" s="6"/>
      <c r="E37" s="36" t="s">
        <v>55</v>
      </c>
      <c r="F37" s="6">
        <f>IF(F76*F83*F25&gt;F25*F28*F36,F83*F25,F25*F28*F36)</f>
        <v>0</v>
      </c>
      <c r="G37" s="5"/>
      <c r="I37" s="36" t="s">
        <v>55</v>
      </c>
      <c r="J37" s="6">
        <f>IF(J76*J83*J25&gt;J25*J28*J36,J83*J25,J25*J28*J36)</f>
        <v>0</v>
      </c>
      <c r="K37" s="5"/>
      <c r="M37" s="36" t="s">
        <v>55</v>
      </c>
      <c r="N37" s="6">
        <f>IF(N76*N83*N25&gt;N25*N28*N36,N83*N25,N25*N28*N36)</f>
        <v>0</v>
      </c>
      <c r="O37" s="5"/>
    </row>
    <row r="38" spans="1:15" x14ac:dyDescent="0.45">
      <c r="A38" s="36" t="s">
        <v>56</v>
      </c>
      <c r="B38" s="6">
        <f>CEILING((((ENC_BS_SIZE(B26,B27,B31)*2)/1024+(B29/8/25)*(B32-2)))*B25,4)+F38+J38+N38</f>
        <v>0</v>
      </c>
      <c r="C38" s="6"/>
      <c r="E38" s="36" t="s">
        <v>56</v>
      </c>
      <c r="F38" s="6">
        <f>CEILING((((ENC_BS_SIZE(F26,F27,F31)*2)/1024+(F29/8/25)*(F32-2)))*F25,4)</f>
        <v>0</v>
      </c>
      <c r="G38" s="5"/>
      <c r="I38" s="36" t="s">
        <v>56</v>
      </c>
      <c r="J38" s="6">
        <f>IF(Overview!$C$2="636+",CEILING((((ENC_BS_SIZE(J26,J27,J31)*2)/1024+(J29/8/25)*(J32-2)))*J25,4),0)</f>
        <v>0</v>
      </c>
      <c r="K38" s="5"/>
      <c r="M38" s="36" t="s">
        <v>56</v>
      </c>
      <c r="N38" s="6">
        <f>IF(Overview!$C$2="636+",CEILING((((ENC_BS_SIZE(N26,N27,N31)*2)/1024+(N29/8/25)*(N32-2)))*N25,4),0)</f>
        <v>0</v>
      </c>
      <c r="O38" s="5"/>
    </row>
    <row r="39" spans="1:15" x14ac:dyDescent="0.45">
      <c r="A39" s="36" t="s">
        <v>145</v>
      </c>
      <c r="B39" s="6">
        <f>IF(B25&gt;0,CEILING(CEILING(B34,64)*CEILING(B35,64)*1.5*C39/1024, 4),0)</f>
        <v>0</v>
      </c>
      <c r="C39" s="6">
        <v>1.1000000000000001</v>
      </c>
      <c r="E39" s="36" t="s">
        <v>145</v>
      </c>
      <c r="F39" s="6">
        <f>IF(F25&gt;0,CEILING(CEILING(F34,64)*CEILING(F35,64)*1.5*G39/1024, 4),0)</f>
        <v>0</v>
      </c>
      <c r="G39" s="6">
        <f>C39</f>
        <v>1.1000000000000001</v>
      </c>
      <c r="I39" s="36" t="s">
        <v>145</v>
      </c>
      <c r="J39" s="6">
        <f>IF(J25&gt;0,CEILING(CEILING(J34,64)*CEILING(J35,64)*1.5*K39/1024, 4),0)</f>
        <v>0</v>
      </c>
      <c r="K39" s="6">
        <f>C39</f>
        <v>1.1000000000000001</v>
      </c>
      <c r="M39" s="36" t="s">
        <v>145</v>
      </c>
      <c r="N39" s="6">
        <f>IF(N25&gt;0,CEILING(CEILING(N34,64)*CEILING(N35,64)*1.5*O39/1024, 4),0)</f>
        <v>0</v>
      </c>
      <c r="O39" s="6">
        <f>C39</f>
        <v>1.1000000000000001</v>
      </c>
    </row>
    <row r="40" spans="1:15" x14ac:dyDescent="0.45">
      <c r="A40" s="68" t="s">
        <v>146</v>
      </c>
      <c r="B40" s="6">
        <f>B25*B33</f>
        <v>0</v>
      </c>
      <c r="C40" s="6"/>
      <c r="E40" s="68" t="s">
        <v>146</v>
      </c>
      <c r="F40" s="6">
        <f>F25*F33</f>
        <v>0</v>
      </c>
      <c r="G40" s="5"/>
      <c r="I40" s="68" t="s">
        <v>146</v>
      </c>
      <c r="J40" s="6">
        <f>J25*J33</f>
        <v>0</v>
      </c>
      <c r="K40" s="5"/>
      <c r="M40" s="68" t="s">
        <v>146</v>
      </c>
      <c r="N40" s="6">
        <f>N25*N33</f>
        <v>0</v>
      </c>
      <c r="O40" s="5"/>
    </row>
    <row r="41" spans="1:15" x14ac:dyDescent="0.45">
      <c r="A41" s="114" t="s">
        <v>186</v>
      </c>
      <c r="B41" s="6">
        <f>Overview!C99</f>
        <v>1</v>
      </c>
      <c r="C41" s="6"/>
      <c r="E41" s="116" t="s">
        <v>186</v>
      </c>
      <c r="F41" s="6">
        <f>Overview!G99</f>
        <v>1</v>
      </c>
      <c r="G41" s="5"/>
      <c r="I41" s="116" t="s">
        <v>186</v>
      </c>
      <c r="J41" s="6">
        <f>Overview!K99</f>
        <v>1</v>
      </c>
      <c r="K41" s="5"/>
      <c r="M41" s="116" t="s">
        <v>186</v>
      </c>
      <c r="N41" s="6">
        <f>Overview!O99</f>
        <v>1</v>
      </c>
      <c r="O41" s="5"/>
    </row>
    <row r="42" spans="1:15" x14ac:dyDescent="0.45">
      <c r="A42" s="160" t="s">
        <v>179</v>
      </c>
      <c r="B42" s="6">
        <f>IF(B25&gt;0,B41*CEILING((CEILING(B34,128)*CEILING(B35,64)*1.5)*C42/1024, 4),0)</f>
        <v>0</v>
      </c>
      <c r="C42" s="6">
        <v>0.76</v>
      </c>
      <c r="E42" s="105" t="s">
        <v>179</v>
      </c>
      <c r="F42" s="6">
        <f>IF(F25&gt;0,F41*CEILING((CEILING(F34,128)*CEILING(F35,64)*1.5)*G42/1024, 4),0)</f>
        <v>0</v>
      </c>
      <c r="G42" s="6">
        <f>C42</f>
        <v>0.76</v>
      </c>
      <c r="I42" s="105" t="s">
        <v>179</v>
      </c>
      <c r="J42" s="6">
        <f>IF(J25&gt;0,J41*CEILING((CEILING(J34,128)*CEILING(J35,64)*1.5)*K42/1024, 4),0)</f>
        <v>0</v>
      </c>
      <c r="K42" s="6">
        <f>C42</f>
        <v>0.76</v>
      </c>
      <c r="M42" s="105" t="s">
        <v>179</v>
      </c>
      <c r="N42" s="6">
        <f>IF(N25&gt;0,N41*CEILING((CEILING(N34,128)*CEILING(N35,64)*1.5)*O42/1024, 4),0)</f>
        <v>0</v>
      </c>
      <c r="O42" s="6">
        <f>C42</f>
        <v>0.76</v>
      </c>
    </row>
    <row r="43" spans="1:15" x14ac:dyDescent="0.45">
      <c r="A43" s="105" t="s">
        <v>180</v>
      </c>
      <c r="B43" s="6">
        <f>B25</f>
        <v>0</v>
      </c>
      <c r="C43" s="6"/>
      <c r="E43" s="105" t="s">
        <v>180</v>
      </c>
      <c r="F43" s="6">
        <f>F25</f>
        <v>0</v>
      </c>
      <c r="G43" s="5"/>
      <c r="I43" s="105" t="s">
        <v>180</v>
      </c>
      <c r="J43" s="6">
        <f>J25</f>
        <v>0</v>
      </c>
      <c r="K43" s="5"/>
      <c r="M43" s="105" t="s">
        <v>180</v>
      </c>
      <c r="N43" s="6">
        <f>N25</f>
        <v>0</v>
      </c>
      <c r="O43" s="5"/>
    </row>
    <row r="44" spans="1:15" x14ac:dyDescent="0.45">
      <c r="F44" s="4"/>
      <c r="J44" s="4"/>
      <c r="N44" s="4"/>
    </row>
    <row r="45" spans="1:15" x14ac:dyDescent="0.45">
      <c r="A45" s="38" t="s">
        <v>66</v>
      </c>
      <c r="B45" s="39" t="s">
        <v>54</v>
      </c>
      <c r="C45" s="39" t="s">
        <v>62</v>
      </c>
      <c r="E45" s="38" t="s">
        <v>66</v>
      </c>
      <c r="F45" s="39" t="s">
        <v>54</v>
      </c>
      <c r="G45" s="39" t="s">
        <v>62</v>
      </c>
      <c r="I45" s="38" t="s">
        <v>66</v>
      </c>
      <c r="J45" s="39" t="s">
        <v>54</v>
      </c>
      <c r="K45" s="39" t="s">
        <v>62</v>
      </c>
      <c r="M45" s="38" t="s">
        <v>66</v>
      </c>
      <c r="N45" s="39" t="s">
        <v>54</v>
      </c>
      <c r="O45" s="39" t="s">
        <v>62</v>
      </c>
    </row>
    <row r="46" spans="1:15" x14ac:dyDescent="0.45">
      <c r="A46" s="35" t="s">
        <v>5</v>
      </c>
      <c r="B46" s="6">
        <f>Overview!C103</f>
        <v>0</v>
      </c>
      <c r="C46" s="6"/>
      <c r="E46" s="35" t="s">
        <v>5</v>
      </c>
      <c r="F46" s="6">
        <f>Overview!G103</f>
        <v>0</v>
      </c>
      <c r="G46" s="5"/>
      <c r="I46" s="35" t="s">
        <v>5</v>
      </c>
      <c r="J46" s="6">
        <f>Overview!K103</f>
        <v>0</v>
      </c>
      <c r="K46" s="5"/>
      <c r="M46" s="35" t="s">
        <v>5</v>
      </c>
      <c r="N46" s="6">
        <f>Overview!O103</f>
        <v>0</v>
      </c>
      <c r="O46" s="5"/>
    </row>
    <row r="47" spans="1:15" x14ac:dyDescent="0.45">
      <c r="A47" s="35" t="s">
        <v>57</v>
      </c>
      <c r="B47" s="6">
        <f>CEILING(Overview!C104,16)</f>
        <v>960</v>
      </c>
      <c r="C47" s="6"/>
      <c r="E47" s="35" t="s">
        <v>57</v>
      </c>
      <c r="F47" s="6">
        <f>CEILING(Overview!G104,16)</f>
        <v>960</v>
      </c>
      <c r="G47" s="5"/>
      <c r="I47" s="35" t="s">
        <v>57</v>
      </c>
      <c r="J47" s="6">
        <f>CEILING(Overview!K104,16)</f>
        <v>960</v>
      </c>
      <c r="K47" s="5"/>
      <c r="M47" s="35" t="s">
        <v>57</v>
      </c>
      <c r="N47" s="6">
        <f>CEILING(Overview!O104,16)</f>
        <v>960</v>
      </c>
      <c r="O47" s="5"/>
    </row>
    <row r="48" spans="1:15" x14ac:dyDescent="0.45">
      <c r="A48" s="35" t="s">
        <v>58</v>
      </c>
      <c r="B48" s="6">
        <f>CEILING(Overview!C105,16)</f>
        <v>576</v>
      </c>
      <c r="C48" s="6"/>
      <c r="E48" s="35" t="s">
        <v>58</v>
      </c>
      <c r="F48" s="6">
        <f>CEILING(Overview!G105,16)</f>
        <v>576</v>
      </c>
      <c r="G48" s="5"/>
      <c r="I48" s="35" t="s">
        <v>58</v>
      </c>
      <c r="J48" s="6">
        <f>CEILING(Overview!K105,16)</f>
        <v>576</v>
      </c>
      <c r="K48" s="5"/>
      <c r="M48" s="35" t="s">
        <v>58</v>
      </c>
      <c r="N48" s="6">
        <f>CEILING(Overview!O105,16)</f>
        <v>576</v>
      </c>
      <c r="O48" s="5"/>
    </row>
    <row r="49" spans="1:15" x14ac:dyDescent="0.45">
      <c r="A49" s="35" t="s">
        <v>3</v>
      </c>
      <c r="B49" s="6">
        <f>Overview!C106</f>
        <v>2</v>
      </c>
      <c r="C49" s="6"/>
      <c r="E49" s="35" t="s">
        <v>3</v>
      </c>
      <c r="F49" s="6">
        <f>Overview!G106</f>
        <v>4</v>
      </c>
      <c r="G49" s="5"/>
      <c r="I49" s="35" t="s">
        <v>3</v>
      </c>
      <c r="J49" s="6">
        <f>Overview!K106</f>
        <v>4</v>
      </c>
      <c r="K49" s="5"/>
      <c r="M49" s="35" t="s">
        <v>3</v>
      </c>
      <c r="N49" s="6">
        <f>Overview!O106</f>
        <v>4</v>
      </c>
      <c r="O49" s="5"/>
    </row>
    <row r="50" spans="1:15" x14ac:dyDescent="0.45">
      <c r="A50" s="35" t="s">
        <v>59</v>
      </c>
      <c r="B50" s="6">
        <f>Overview!C112</f>
        <v>4096</v>
      </c>
      <c r="C50" s="6"/>
      <c r="E50" s="35" t="s">
        <v>59</v>
      </c>
      <c r="F50" s="6">
        <f>Overview!G112</f>
        <v>4096</v>
      </c>
      <c r="G50" s="5"/>
      <c r="I50" s="35" t="s">
        <v>59</v>
      </c>
      <c r="J50" s="6">
        <f>Overview!K112</f>
        <v>4096</v>
      </c>
      <c r="K50" s="5"/>
      <c r="M50" s="35" t="s">
        <v>59</v>
      </c>
      <c r="N50" s="6">
        <f>Overview!O112</f>
        <v>4096</v>
      </c>
      <c r="O50" s="5"/>
    </row>
    <row r="51" spans="1:15" x14ac:dyDescent="0.45">
      <c r="A51" s="35" t="s">
        <v>73</v>
      </c>
      <c r="B51" s="6">
        <f>Overview!C107</f>
        <v>1.125</v>
      </c>
      <c r="C51" s="6"/>
      <c r="E51" s="35" t="s">
        <v>73</v>
      </c>
      <c r="F51" s="6">
        <f>Overview!G107</f>
        <v>1.125</v>
      </c>
      <c r="G51" s="6"/>
      <c r="I51" s="35" t="s">
        <v>73</v>
      </c>
      <c r="J51" s="6">
        <f>Overview!K107</f>
        <v>1.125</v>
      </c>
      <c r="K51" s="6"/>
      <c r="M51" s="35" t="s">
        <v>73</v>
      </c>
      <c r="N51" s="6">
        <f>Overview!O107</f>
        <v>1.125</v>
      </c>
      <c r="O51" s="6"/>
    </row>
    <row r="52" spans="1:15" x14ac:dyDescent="0.45">
      <c r="A52" s="35" t="s">
        <v>1</v>
      </c>
      <c r="B52" s="6">
        <f>Overview!C113</f>
        <v>0.3</v>
      </c>
      <c r="C52" s="6"/>
      <c r="E52" s="35" t="s">
        <v>1</v>
      </c>
      <c r="F52" s="6">
        <f>Overview!G113</f>
        <v>0.3</v>
      </c>
      <c r="G52" s="5"/>
      <c r="I52" s="35" t="s">
        <v>1</v>
      </c>
      <c r="J52" s="6">
        <f>Overview!K113</f>
        <v>0.3</v>
      </c>
      <c r="K52" s="5"/>
      <c r="M52" s="35" t="s">
        <v>1</v>
      </c>
      <c r="N52" s="6">
        <f>Overview!O113</f>
        <v>0.3</v>
      </c>
      <c r="O52" s="5"/>
    </row>
    <row r="53" spans="1:15" x14ac:dyDescent="0.45">
      <c r="A53" s="41" t="s">
        <v>20</v>
      </c>
      <c r="B53" s="6">
        <f>Overview!C114</f>
        <v>7</v>
      </c>
      <c r="C53" s="6"/>
      <c r="E53" s="41" t="s">
        <v>20</v>
      </c>
      <c r="F53" s="6">
        <f>Overview!G114</f>
        <v>7</v>
      </c>
      <c r="G53" s="5"/>
      <c r="I53" s="41" t="s">
        <v>20</v>
      </c>
      <c r="J53" s="6">
        <f>Overview!K114</f>
        <v>7</v>
      </c>
      <c r="K53" s="5"/>
      <c r="M53" s="41" t="s">
        <v>20</v>
      </c>
      <c r="N53" s="6">
        <f>Overview!O114</f>
        <v>7</v>
      </c>
      <c r="O53" s="5"/>
    </row>
    <row r="54" spans="1:15" x14ac:dyDescent="0.45">
      <c r="A54" s="41" t="s">
        <v>240</v>
      </c>
      <c r="B54" s="6">
        <f>CEILING(Overview!C109,16)</f>
        <v>960</v>
      </c>
      <c r="C54" s="6"/>
      <c r="E54" s="41" t="s">
        <v>240</v>
      </c>
      <c r="F54" s="6">
        <f>CEILING(Overview!G109,16)</f>
        <v>960</v>
      </c>
      <c r="G54" s="5"/>
      <c r="I54" s="41" t="s">
        <v>240</v>
      </c>
      <c r="J54" s="6">
        <f>CEILING(Overview!K109,16)</f>
        <v>960</v>
      </c>
      <c r="K54" s="5"/>
      <c r="M54" s="41" t="s">
        <v>240</v>
      </c>
      <c r="N54" s="6">
        <f>CEILING(Overview!O109,16)</f>
        <v>960</v>
      </c>
      <c r="O54" s="5"/>
    </row>
    <row r="55" spans="1:15" x14ac:dyDescent="0.45">
      <c r="A55" s="41" t="s">
        <v>241</v>
      </c>
      <c r="B55" s="6">
        <f>CEILING(Overview!C110,16)</f>
        <v>576</v>
      </c>
      <c r="C55" s="6"/>
      <c r="E55" s="41" t="s">
        <v>241</v>
      </c>
      <c r="F55" s="6">
        <f>CEILING(Overview!G110,16)</f>
        <v>576</v>
      </c>
      <c r="G55" s="5"/>
      <c r="I55" s="41" t="s">
        <v>241</v>
      </c>
      <c r="J55" s="6">
        <f>CEILING(Overview!K110,16)</f>
        <v>576</v>
      </c>
      <c r="K55" s="5"/>
      <c r="M55" s="41" t="s">
        <v>241</v>
      </c>
      <c r="N55" s="6">
        <f>CEILING(Overview!O110,16)</f>
        <v>576</v>
      </c>
      <c r="O55" s="5"/>
    </row>
    <row r="56" spans="1:15" x14ac:dyDescent="0.45">
      <c r="A56" s="41" t="s">
        <v>6</v>
      </c>
      <c r="B56" s="6">
        <f>Overview!C108</f>
        <v>3</v>
      </c>
      <c r="C56" s="6"/>
      <c r="E56" s="41" t="s">
        <v>6</v>
      </c>
      <c r="F56" s="6">
        <f>Overview!G108</f>
        <v>3</v>
      </c>
      <c r="G56" s="3"/>
      <c r="I56" s="41" t="s">
        <v>6</v>
      </c>
      <c r="J56" s="6">
        <f>Overview!K108</f>
        <v>3</v>
      </c>
      <c r="K56" s="3"/>
      <c r="M56" s="41" t="s">
        <v>6</v>
      </c>
      <c r="N56" s="6">
        <f>Overview!O108</f>
        <v>3</v>
      </c>
      <c r="O56" s="3"/>
    </row>
    <row r="57" spans="1:15" x14ac:dyDescent="0.45">
      <c r="A57" s="35" t="s">
        <v>143</v>
      </c>
      <c r="B57" s="6">
        <f>IF(B46&gt;0,CEILING(YUVSIZE(B47,B48,B51)/1024,4),0)</f>
        <v>0</v>
      </c>
      <c r="C57" s="6"/>
      <c r="E57" s="35" t="s">
        <v>143</v>
      </c>
      <c r="F57" s="6">
        <f>IF(F46&gt;0,CEILING(YUVSIZE(F47,F48,F51)/1024,4),0)</f>
        <v>0</v>
      </c>
      <c r="G57" s="5"/>
      <c r="I57" s="35" t="s">
        <v>143</v>
      </c>
      <c r="J57" s="6">
        <f>IF(J46&gt;0,CEILING(YUVSIZE(J47,J48,J51)/1024,4),0)</f>
        <v>0</v>
      </c>
      <c r="K57" s="5"/>
      <c r="M57" s="35" t="s">
        <v>143</v>
      </c>
      <c r="N57" s="6">
        <f>IF(N46&gt;0,CEILING(YUVSIZE(N47,N48,N51)/1024,4),0)</f>
        <v>0</v>
      </c>
      <c r="O57" s="5"/>
    </row>
    <row r="58" spans="1:15" x14ac:dyDescent="0.45">
      <c r="A58" s="36" t="s">
        <v>55</v>
      </c>
      <c r="B58" s="6">
        <f>IF(B76*B83*B46&gt;B46*B49*B57,B83*B46,B46*B49*B57)</f>
        <v>0</v>
      </c>
      <c r="C58" s="6"/>
      <c r="E58" s="36" t="s">
        <v>55</v>
      </c>
      <c r="F58" s="6">
        <f>IF(F76*F83*F46&gt;F46*F49*F57,F83*F46,F46*F49*F57)</f>
        <v>0</v>
      </c>
      <c r="G58" s="5"/>
      <c r="I58" s="36" t="s">
        <v>55</v>
      </c>
      <c r="J58" s="6">
        <f>IF(J76*J83*J46&gt;J46*J49*J57,J83*J46,J46*J49*J57)</f>
        <v>0</v>
      </c>
      <c r="K58" s="5"/>
      <c r="M58" s="36" t="s">
        <v>55</v>
      </c>
      <c r="N58" s="6">
        <f>IF(N76*N83*N46&gt;N46*N49*N57,N83*N46,N46*N49*N57)</f>
        <v>0</v>
      </c>
      <c r="O58" s="5"/>
    </row>
    <row r="59" spans="1:15" x14ac:dyDescent="0.45">
      <c r="A59" s="36" t="s">
        <v>56</v>
      </c>
      <c r="B59" s="6">
        <f>CEILING((((ENC_BS_SIZE(B47,B48,B52)*2)/1024+(B50/8/25)*(B53-2)))*B46,4)+F59+J59+N59</f>
        <v>0</v>
      </c>
      <c r="C59" s="6"/>
      <c r="E59" s="36" t="s">
        <v>56</v>
      </c>
      <c r="F59" s="6">
        <f>CEILING((((ENC_BS_SIZE(F47,F48,F52)*2)/1024+(F50/8/25)*(F53-2)))*F46,4)</f>
        <v>0</v>
      </c>
      <c r="G59" s="5"/>
      <c r="I59" s="36" t="s">
        <v>56</v>
      </c>
      <c r="J59" s="6">
        <f>IF(Overview!$C$2="636+",CEILING((((ENC_BS_SIZE(J47,J48,J52)*2)/1024+(J50/8/25)*(J53-2)))*J46,4),0)</f>
        <v>0</v>
      </c>
      <c r="K59" s="5"/>
      <c r="M59" s="36" t="s">
        <v>56</v>
      </c>
      <c r="N59" s="6">
        <f>IF(Overview!$C$2="636+",CEILING((((ENC_BS_SIZE(N47,N48,N52)*2)/1024+(N50/8/25)*(N53-2)))*N46,4),0)</f>
        <v>0</v>
      </c>
      <c r="O59" s="5"/>
    </row>
    <row r="60" spans="1:15" x14ac:dyDescent="0.45">
      <c r="A60" s="36" t="s">
        <v>145</v>
      </c>
      <c r="B60" s="6">
        <f>IF(B46&gt;0,CEILING(CEILING(B54,64)*CEILING(B55,64)*1.5*C60/1024, 4),0)</f>
        <v>0</v>
      </c>
      <c r="C60" s="6">
        <v>1.1000000000000001</v>
      </c>
      <c r="E60" s="36" t="s">
        <v>145</v>
      </c>
      <c r="F60" s="6">
        <f>IF(F46&gt;0,CEILING(CEILING(F54,64)*CEILING(F55,64)*1.5*G60/1024, 4),0)</f>
        <v>0</v>
      </c>
      <c r="G60" s="6">
        <f>C60</f>
        <v>1.1000000000000001</v>
      </c>
      <c r="I60" s="36" t="s">
        <v>145</v>
      </c>
      <c r="J60" s="6">
        <f>IF(J46&gt;0,CEILING(CEILING(J54,64)*CEILING(J55,64)*1.5*K60/1024, 4),0)</f>
        <v>0</v>
      </c>
      <c r="K60" s="6">
        <f>C60</f>
        <v>1.1000000000000001</v>
      </c>
      <c r="M60" s="36" t="s">
        <v>145</v>
      </c>
      <c r="N60" s="6">
        <f>IF(N46&gt;0,CEILING(CEILING(N54,64)*CEILING(N55,64)*1.5*O60/1024, 4),0)</f>
        <v>0</v>
      </c>
      <c r="O60" s="6">
        <f>C60</f>
        <v>1.1000000000000001</v>
      </c>
    </row>
    <row r="61" spans="1:15" x14ac:dyDescent="0.45">
      <c r="A61" s="68" t="s">
        <v>146</v>
      </c>
      <c r="B61" s="6">
        <f>B46*B56</f>
        <v>0</v>
      </c>
      <c r="C61" s="6"/>
      <c r="E61" s="68" t="s">
        <v>146</v>
      </c>
      <c r="F61" s="6">
        <f>F46*F56</f>
        <v>0</v>
      </c>
      <c r="G61" s="5"/>
      <c r="I61" s="68" t="s">
        <v>146</v>
      </c>
      <c r="J61" s="6">
        <f>J46*J56</f>
        <v>0</v>
      </c>
      <c r="K61" s="5"/>
      <c r="M61" s="68" t="s">
        <v>146</v>
      </c>
      <c r="N61" s="6">
        <f>N46*N56</f>
        <v>0</v>
      </c>
      <c r="O61" s="5"/>
    </row>
    <row r="62" spans="1:15" x14ac:dyDescent="0.45">
      <c r="A62" s="114" t="s">
        <v>187</v>
      </c>
      <c r="B62" s="6">
        <f>Overview!C111</f>
        <v>1</v>
      </c>
      <c r="C62" s="6"/>
      <c r="E62" s="116" t="s">
        <v>186</v>
      </c>
      <c r="F62" s="6">
        <f>Overview!G111</f>
        <v>1</v>
      </c>
      <c r="G62" s="5"/>
      <c r="I62" s="116" t="s">
        <v>186</v>
      </c>
      <c r="J62" s="6">
        <f>Overview!K111</f>
        <v>1</v>
      </c>
      <c r="K62" s="5"/>
      <c r="M62" s="116" t="s">
        <v>186</v>
      </c>
      <c r="N62" s="6">
        <f>Overview!O111</f>
        <v>1</v>
      </c>
      <c r="O62" s="5"/>
    </row>
    <row r="63" spans="1:15" x14ac:dyDescent="0.45">
      <c r="A63" s="161" t="s">
        <v>179</v>
      </c>
      <c r="B63" s="6">
        <f>IF(B46&gt;0,B62*CEILING((CEILING(B54,128)*CEILING(B55,64)*1.5)*C63/1024, 4),0)</f>
        <v>0</v>
      </c>
      <c r="C63" s="6">
        <v>0.76</v>
      </c>
      <c r="E63" s="105" t="s">
        <v>179</v>
      </c>
      <c r="F63" s="6">
        <f>IF(F46&gt;0,F62*CEILING((CEILING(F54,128)*CEILING(F55,64)*1.5)*G63/1024, 4),0)</f>
        <v>0</v>
      </c>
      <c r="G63" s="6">
        <f>C63</f>
        <v>0.76</v>
      </c>
      <c r="I63" s="105" t="s">
        <v>179</v>
      </c>
      <c r="J63" s="6">
        <f>IF(J46&gt;0,J62*CEILING((CEILING(J54,128)*CEILING(J55,64)*1.5)*K63/1024, 4),0)</f>
        <v>0</v>
      </c>
      <c r="K63" s="6">
        <f>C63</f>
        <v>0.76</v>
      </c>
      <c r="M63" s="105" t="s">
        <v>179</v>
      </c>
      <c r="N63" s="6">
        <f>IF(N46&gt;0,N62*CEILING((CEILING(N54,128)*CEILING(N55,64)*1.5)*O63/1024, 4),0)</f>
        <v>0</v>
      </c>
      <c r="O63" s="6">
        <f>C63</f>
        <v>0.76</v>
      </c>
    </row>
    <row r="64" spans="1:15" x14ac:dyDescent="0.45">
      <c r="A64" s="105" t="s">
        <v>180</v>
      </c>
      <c r="B64" s="6">
        <f>B46</f>
        <v>0</v>
      </c>
      <c r="C64" s="6"/>
      <c r="E64" s="105" t="s">
        <v>180</v>
      </c>
      <c r="F64" s="6">
        <f>F46</f>
        <v>0</v>
      </c>
      <c r="G64" s="5"/>
      <c r="I64" s="105" t="s">
        <v>180</v>
      </c>
      <c r="J64" s="6">
        <f>J46</f>
        <v>0</v>
      </c>
      <c r="K64" s="5"/>
      <c r="M64" s="105" t="s">
        <v>180</v>
      </c>
      <c r="N64" s="6">
        <f>N46</f>
        <v>0</v>
      </c>
      <c r="O64" s="5"/>
    </row>
    <row r="65" spans="1:15" x14ac:dyDescent="0.45">
      <c r="A65" s="53"/>
      <c r="B65" s="7"/>
      <c r="C65" s="7"/>
      <c r="E65" s="53"/>
      <c r="F65" s="7"/>
      <c r="G65" s="80"/>
      <c r="I65" s="53"/>
      <c r="J65" s="7"/>
      <c r="K65" s="80"/>
      <c r="M65" s="53"/>
      <c r="N65" s="7"/>
      <c r="O65" s="80"/>
    </row>
    <row r="66" spans="1:15" x14ac:dyDescent="0.45">
      <c r="A66" s="42" t="s">
        <v>323</v>
      </c>
      <c r="B66" s="43" t="s">
        <v>0</v>
      </c>
      <c r="C66" s="43" t="s">
        <v>62</v>
      </c>
      <c r="E66" s="42" t="s">
        <v>323</v>
      </c>
      <c r="F66" s="43" t="s">
        <v>0</v>
      </c>
      <c r="G66" s="43" t="s">
        <v>62</v>
      </c>
      <c r="I66" s="42" t="s">
        <v>323</v>
      </c>
      <c r="J66" s="43" t="s">
        <v>0</v>
      </c>
      <c r="K66" s="43" t="s">
        <v>62</v>
      </c>
      <c r="M66" s="42" t="s">
        <v>323</v>
      </c>
      <c r="N66" s="43" t="s">
        <v>0</v>
      </c>
      <c r="O66" s="43" t="s">
        <v>62</v>
      </c>
    </row>
    <row r="67" spans="1:15" x14ac:dyDescent="0.45">
      <c r="A67" s="44" t="s">
        <v>5</v>
      </c>
      <c r="B67" s="6">
        <f>Overview!C115</f>
        <v>0</v>
      </c>
      <c r="C67" s="6"/>
      <c r="E67" s="44" t="s">
        <v>5</v>
      </c>
      <c r="F67" s="6">
        <f>Overview!G115</f>
        <v>4</v>
      </c>
      <c r="G67" s="5"/>
      <c r="I67" s="44" t="s">
        <v>5</v>
      </c>
      <c r="J67" s="6">
        <f>Overview!K115</f>
        <v>0</v>
      </c>
      <c r="K67" s="5"/>
      <c r="M67" s="44" t="s">
        <v>5</v>
      </c>
      <c r="N67" s="6">
        <f>Overview!O115</f>
        <v>0</v>
      </c>
      <c r="O67" s="5"/>
    </row>
    <row r="68" spans="1:15" x14ac:dyDescent="0.45">
      <c r="A68" s="44" t="s">
        <v>57</v>
      </c>
      <c r="B68" s="6">
        <f>Overview!C116</f>
        <v>1920</v>
      </c>
      <c r="C68" s="6"/>
      <c r="E68" s="44" t="s">
        <v>57</v>
      </c>
      <c r="F68" s="6">
        <f>Overview!G116</f>
        <v>1920</v>
      </c>
      <c r="G68" s="5"/>
      <c r="I68" s="44" t="s">
        <v>57</v>
      </c>
      <c r="J68" s="6">
        <f>Overview!K116</f>
        <v>1920</v>
      </c>
      <c r="K68" s="5"/>
      <c r="M68" s="44" t="s">
        <v>57</v>
      </c>
      <c r="N68" s="6">
        <f>Overview!O116</f>
        <v>1920</v>
      </c>
      <c r="O68" s="5"/>
    </row>
    <row r="69" spans="1:15" x14ac:dyDescent="0.45">
      <c r="A69" s="44" t="s">
        <v>58</v>
      </c>
      <c r="B69" s="6">
        <f>Overview!C117</f>
        <v>1080</v>
      </c>
      <c r="C69" s="6"/>
      <c r="E69" s="44" t="s">
        <v>58</v>
      </c>
      <c r="F69" s="6">
        <f>Overview!G117</f>
        <v>1080</v>
      </c>
      <c r="G69" s="5"/>
      <c r="I69" s="44" t="s">
        <v>58</v>
      </c>
      <c r="J69" s="6">
        <f>Overview!K117</f>
        <v>1080</v>
      </c>
      <c r="K69" s="5"/>
      <c r="M69" s="44" t="s">
        <v>58</v>
      </c>
      <c r="N69" s="6">
        <f>Overview!O117</f>
        <v>1080</v>
      </c>
      <c r="O69" s="5"/>
    </row>
    <row r="70" spans="1:15" x14ac:dyDescent="0.45">
      <c r="A70" s="44" t="s">
        <v>3</v>
      </c>
      <c r="B70" s="6">
        <f>Overview!C118</f>
        <v>4</v>
      </c>
      <c r="C70" s="6"/>
      <c r="E70" s="44" t="s">
        <v>3</v>
      </c>
      <c r="F70" s="6">
        <f>Overview!G118</f>
        <v>4</v>
      </c>
      <c r="G70" s="5"/>
      <c r="I70" s="44" t="s">
        <v>3</v>
      </c>
      <c r="J70" s="6">
        <f>Overview!K118</f>
        <v>4</v>
      </c>
      <c r="K70" s="5"/>
      <c r="M70" s="44" t="s">
        <v>3</v>
      </c>
      <c r="N70" s="6">
        <f>Overview!O118</f>
        <v>2</v>
      </c>
      <c r="O70" s="5"/>
    </row>
    <row r="71" spans="1:15" x14ac:dyDescent="0.45">
      <c r="A71" s="44" t="s">
        <v>73</v>
      </c>
      <c r="B71" s="6">
        <f>Overview!C119</f>
        <v>1.125</v>
      </c>
      <c r="C71" s="6"/>
      <c r="E71" s="44" t="s">
        <v>73</v>
      </c>
      <c r="F71" s="6">
        <f>Overview!G119</f>
        <v>1.125</v>
      </c>
      <c r="G71" s="5"/>
      <c r="I71" s="44" t="s">
        <v>73</v>
      </c>
      <c r="J71" s="6">
        <f>Overview!K119</f>
        <v>1.125</v>
      </c>
      <c r="K71" s="5"/>
      <c r="M71" s="44" t="s">
        <v>73</v>
      </c>
      <c r="N71" s="6">
        <f>Overview!O119</f>
        <v>1.125</v>
      </c>
      <c r="O71" s="5"/>
    </row>
    <row r="72" spans="1:15" x14ac:dyDescent="0.45">
      <c r="A72" s="35" t="s">
        <v>181</v>
      </c>
      <c r="B72" s="6">
        <f>IF(B67&gt;0,CEILING(YUVSIZE(B68,B69,B71)/1024,4),0)</f>
        <v>0</v>
      </c>
      <c r="C72" s="6"/>
      <c r="E72" s="35" t="s">
        <v>181</v>
      </c>
      <c r="F72" s="6">
        <f>IF(F67&gt;0,CEILING(YUVSIZE(F68,F69,F71)/1024,4),0)</f>
        <v>2280</v>
      </c>
      <c r="G72" s="5"/>
      <c r="I72" s="35" t="s">
        <v>181</v>
      </c>
      <c r="J72" s="6">
        <f>IF(J67&gt;0,CEILING(YUVSIZE(J68,J69,J71)/1024,4),0)</f>
        <v>0</v>
      </c>
      <c r="K72" s="5"/>
      <c r="M72" s="35" t="s">
        <v>181</v>
      </c>
      <c r="N72" s="6">
        <f>IF(N67&gt;0,CEILING(YUVSIZE(N68,N69,N71)/1024,4),0)</f>
        <v>0</v>
      </c>
      <c r="O72" s="5"/>
    </row>
    <row r="73" spans="1:15" x14ac:dyDescent="0.45">
      <c r="A73" s="70" t="s">
        <v>158</v>
      </c>
      <c r="B73" s="6">
        <f>B67*B70*B72</f>
        <v>0</v>
      </c>
      <c r="C73" s="6"/>
      <c r="E73" s="105" t="s">
        <v>158</v>
      </c>
      <c r="F73" s="6">
        <f>IF(F94*F102*F67&gt;F67*F70*F72,F102*F67,F67*F70*F72)</f>
        <v>36480</v>
      </c>
      <c r="G73" s="5"/>
      <c r="I73" s="105" t="s">
        <v>158</v>
      </c>
      <c r="J73" s="6">
        <f>IF(J94*J102*J67&gt;J67*J70*J72,J102*J67,J67*J70*J72)</f>
        <v>0</v>
      </c>
      <c r="K73" s="5"/>
      <c r="M73" s="105" t="s">
        <v>158</v>
      </c>
      <c r="N73" s="6">
        <f>IF(N94*N102*N67&gt;N67*N70*N72,N102*N67,N67*N70*N72)</f>
        <v>0</v>
      </c>
      <c r="O73" s="5"/>
    </row>
    <row r="75" spans="1:15" x14ac:dyDescent="0.45">
      <c r="A75" s="42" t="s">
        <v>70</v>
      </c>
      <c r="B75" s="43" t="s">
        <v>54</v>
      </c>
      <c r="C75" s="43" t="s">
        <v>62</v>
      </c>
      <c r="E75" s="42" t="s">
        <v>70</v>
      </c>
      <c r="F75" s="43" t="s">
        <v>0</v>
      </c>
      <c r="G75" s="43" t="s">
        <v>62</v>
      </c>
      <c r="I75" s="42" t="s">
        <v>70</v>
      </c>
      <c r="J75" s="43" t="s">
        <v>0</v>
      </c>
      <c r="K75" s="43" t="s">
        <v>62</v>
      </c>
      <c r="M75" s="42" t="s">
        <v>70</v>
      </c>
      <c r="N75" s="43" t="s">
        <v>0</v>
      </c>
      <c r="O75" s="43" t="s">
        <v>62</v>
      </c>
    </row>
    <row r="76" spans="1:15" x14ac:dyDescent="0.45">
      <c r="A76" s="44" t="s">
        <v>86</v>
      </c>
      <c r="B76" s="6">
        <f>Overview!C77</f>
        <v>0</v>
      </c>
      <c r="C76" s="6"/>
      <c r="E76" s="92" t="s">
        <v>86</v>
      </c>
      <c r="F76" s="6">
        <f>Overview!G77</f>
        <v>0</v>
      </c>
      <c r="G76" s="5"/>
      <c r="I76" s="92" t="s">
        <v>86</v>
      </c>
      <c r="J76" s="6">
        <f>Overview!K77</f>
        <v>0</v>
      </c>
      <c r="K76" s="5"/>
      <c r="M76" s="92" t="s">
        <v>86</v>
      </c>
      <c r="N76" s="6">
        <f>Overview!O77</f>
        <v>0</v>
      </c>
      <c r="O76" s="5"/>
    </row>
    <row r="77" spans="1:15" x14ac:dyDescent="0.45">
      <c r="A77" s="44" t="s">
        <v>57</v>
      </c>
      <c r="B77" s="6">
        <v>960</v>
      </c>
      <c r="C77" s="6"/>
      <c r="E77" s="92" t="s">
        <v>57</v>
      </c>
      <c r="F77" s="6">
        <v>960</v>
      </c>
      <c r="G77" s="5"/>
      <c r="I77" s="92" t="s">
        <v>57</v>
      </c>
      <c r="J77" s="6">
        <v>960</v>
      </c>
      <c r="K77" s="5"/>
      <c r="M77" s="92" t="s">
        <v>57</v>
      </c>
      <c r="N77" s="6">
        <v>960</v>
      </c>
      <c r="O77" s="5"/>
    </row>
    <row r="78" spans="1:15" x14ac:dyDescent="0.45">
      <c r="A78" s="44" t="s">
        <v>58</v>
      </c>
      <c r="B78" s="6">
        <v>576</v>
      </c>
      <c r="C78" s="6"/>
      <c r="E78" s="92" t="s">
        <v>58</v>
      </c>
      <c r="F78" s="6">
        <v>576</v>
      </c>
      <c r="G78" s="5"/>
      <c r="I78" s="92" t="s">
        <v>58</v>
      </c>
      <c r="J78" s="6">
        <v>576</v>
      </c>
      <c r="K78" s="5"/>
      <c r="M78" s="92" t="s">
        <v>58</v>
      </c>
      <c r="N78" s="6">
        <v>576</v>
      </c>
      <c r="O78" s="5"/>
    </row>
    <row r="79" spans="1:15" x14ac:dyDescent="0.45">
      <c r="A79" s="44" t="s">
        <v>71</v>
      </c>
      <c r="B79" s="6">
        <f>Overview!C78</f>
        <v>2</v>
      </c>
      <c r="C79" s="6"/>
      <c r="E79" s="92" t="s">
        <v>71</v>
      </c>
      <c r="F79" s="6">
        <f>Overview!G78</f>
        <v>2</v>
      </c>
      <c r="G79" s="5"/>
      <c r="I79" s="92" t="s">
        <v>71</v>
      </c>
      <c r="J79" s="6">
        <f>Overview!K78</f>
        <v>2</v>
      </c>
      <c r="K79" s="5"/>
      <c r="M79" s="92" t="s">
        <v>71</v>
      </c>
      <c r="N79" s="6">
        <f>Overview!O78</f>
        <v>2</v>
      </c>
      <c r="O79" s="5"/>
    </row>
    <row r="80" spans="1:15" x14ac:dyDescent="0.45">
      <c r="A80" s="44" t="s">
        <v>72</v>
      </c>
      <c r="B80" s="6">
        <v>2</v>
      </c>
      <c r="C80" s="6"/>
      <c r="E80" s="92" t="s">
        <v>72</v>
      </c>
      <c r="F80" s="6">
        <v>2</v>
      </c>
      <c r="G80" s="5"/>
      <c r="I80" s="92" t="s">
        <v>72</v>
      </c>
      <c r="J80" s="6">
        <v>2</v>
      </c>
      <c r="K80" s="5"/>
      <c r="M80" s="92" t="s">
        <v>72</v>
      </c>
      <c r="N80" s="6">
        <v>2</v>
      </c>
      <c r="O80" s="5"/>
    </row>
    <row r="81" spans="1:15" x14ac:dyDescent="0.45">
      <c r="A81" s="44" t="s">
        <v>74</v>
      </c>
      <c r="B81" s="6">
        <f>Overview!C78</f>
        <v>2</v>
      </c>
      <c r="C81" s="6"/>
      <c r="E81" s="92" t="s">
        <v>74</v>
      </c>
      <c r="F81" s="6">
        <f>Overview!G78</f>
        <v>2</v>
      </c>
      <c r="G81" s="5"/>
      <c r="I81" s="92" t="s">
        <v>74</v>
      </c>
      <c r="J81" s="6">
        <f>Overview!K78</f>
        <v>2</v>
      </c>
      <c r="K81" s="5"/>
      <c r="M81" s="92" t="s">
        <v>74</v>
      </c>
      <c r="N81" s="6">
        <f>Overview!O78</f>
        <v>2</v>
      </c>
      <c r="O81" s="5"/>
    </row>
    <row r="82" spans="1:15" x14ac:dyDescent="0.45">
      <c r="A82" s="44" t="s">
        <v>75</v>
      </c>
      <c r="B82" s="6">
        <v>1.125</v>
      </c>
      <c r="C82" s="6"/>
      <c r="E82" s="92" t="s">
        <v>75</v>
      </c>
      <c r="F82" s="6">
        <f>B82</f>
        <v>1.125</v>
      </c>
      <c r="G82" s="5"/>
      <c r="I82" s="92" t="s">
        <v>75</v>
      </c>
      <c r="J82" s="6">
        <f>B82</f>
        <v>1.125</v>
      </c>
      <c r="K82" s="5"/>
      <c r="M82" s="92" t="s">
        <v>75</v>
      </c>
      <c r="N82" s="6">
        <f>B82</f>
        <v>1.125</v>
      </c>
      <c r="O82" s="5"/>
    </row>
    <row r="83" spans="1:15" x14ac:dyDescent="0.45">
      <c r="A83" s="36" t="s">
        <v>55</v>
      </c>
      <c r="B83" s="6">
        <f>(YUVSIZE(B77,B78,B80)*B79+YUVSIZE(B77,B78,B82)*B81)/1024</f>
        <v>3375</v>
      </c>
      <c r="C83" s="6" t="s">
        <v>87</v>
      </c>
      <c r="E83" s="36" t="s">
        <v>55</v>
      </c>
      <c r="F83" s="6">
        <f>(YUVSIZE(F77,F78,F80)*F79+YUVSIZE(F77,F78,F82)*F81)/1024</f>
        <v>3375</v>
      </c>
      <c r="G83" s="5" t="s">
        <v>87</v>
      </c>
      <c r="I83" s="36" t="s">
        <v>55</v>
      </c>
      <c r="J83" s="6">
        <f>(YUVSIZE(J77,J78,J80)*J79+YUVSIZE(J77,J78,J82)*J81)/1024</f>
        <v>3375</v>
      </c>
      <c r="K83" s="5" t="s">
        <v>87</v>
      </c>
      <c r="M83" s="36" t="s">
        <v>55</v>
      </c>
      <c r="N83" s="6">
        <f>(YUVSIZE(N77,N78,N80)*N79+YUVSIZE(N77,N78,N82)*N81)/1024</f>
        <v>3375</v>
      </c>
      <c r="O83" s="5" t="s">
        <v>87</v>
      </c>
    </row>
  </sheetData>
  <mergeCells count="4">
    <mergeCell ref="A1:C1"/>
    <mergeCell ref="E1:G1"/>
    <mergeCell ref="I1:K1"/>
    <mergeCell ref="M1:O1"/>
  </mergeCells>
  <phoneticPr fontId="2" type="noConversion"/>
  <dataValidations count="1">
    <dataValidation type="whole" operator="greaterThanOrEqual" allowBlank="1" showInputMessage="1" showErrorMessage="1" sqref="B53 B32" xr:uid="{00000000-0002-0000-0500-000000000000}">
      <formula1>2</formula1>
    </dataValidation>
  </dataValidations>
  <pageMargins left="0.7" right="0.7" top="0.75" bottom="0.75" header="0.3" footer="0.3"/>
  <pageSetup paperSize="148" orientation="portrait" r:id="rId1"/>
  <legacyDrawing r:id="rId2"/>
  <extLst>
    <ext xmlns:x14="http://schemas.microsoft.com/office/spreadsheetml/2009/9/main" uri="{78C0D931-6437-407d-A8EE-F0AAD7539E65}">
      <x14:conditionalFormattings>
        <x14:conditionalFormatting xmlns:xm="http://schemas.microsoft.com/office/excel/2006/main">
          <x14:cfRule type="expression" priority="1" id="{DC6CEFFD-7256-43C5-B02C-1901EE672533}">
            <xm:f>NOT(Overview!$C$2="636+")</xm:f>
            <x14:dxf>
              <font>
                <u val="none"/>
                <color theme="0"/>
              </font>
              <fill>
                <patternFill patternType="none">
                  <fgColor indexed="64"/>
                  <bgColor auto="1"/>
                </patternFill>
              </fill>
              <border>
                <left/>
                <right/>
                <top/>
                <bottom/>
                <vertical/>
                <horizontal/>
              </border>
            </x14:dxf>
          </x14:cfRule>
          <xm:sqref>I1:O83</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工作表5"/>
  <dimension ref="A1:O45"/>
  <sheetViews>
    <sheetView workbookViewId="0">
      <pane ySplit="1" topLeftCell="A8" activePane="bottomLeft" state="frozen"/>
      <selection pane="bottomLeft" activeCell="C23" sqref="C23"/>
    </sheetView>
  </sheetViews>
  <sheetFormatPr defaultRowHeight="16.149999999999999" x14ac:dyDescent="0.45"/>
  <cols>
    <col min="1" max="1" width="29.1328125" customWidth="1"/>
    <col min="2" max="2" width="8.19921875" bestFit="1" customWidth="1"/>
    <col min="3" max="3" width="8.86328125" customWidth="1"/>
    <col min="4" max="4" width="1.33203125" customWidth="1"/>
    <col min="5" max="5" width="29.1328125" customWidth="1"/>
    <col min="6" max="6" width="8.19921875" bestFit="1" customWidth="1"/>
    <col min="7" max="7" width="7.6640625" bestFit="1" customWidth="1"/>
    <col min="8" max="8" width="1.1328125" customWidth="1"/>
    <col min="9" max="9" width="29.1328125" customWidth="1"/>
    <col min="10" max="10" width="8.19921875" bestFit="1" customWidth="1"/>
    <col min="11" max="11" width="7.6640625" bestFit="1" customWidth="1"/>
    <col min="12" max="12" width="1.33203125" customWidth="1"/>
    <col min="13" max="13" width="29" customWidth="1"/>
    <col min="14" max="14" width="8.19921875" bestFit="1" customWidth="1"/>
    <col min="15" max="15" width="7.6640625" bestFit="1" customWidth="1"/>
  </cols>
  <sheetData>
    <row r="1" spans="1:15" x14ac:dyDescent="0.45">
      <c r="A1" s="268" t="s">
        <v>286</v>
      </c>
      <c r="B1" s="269"/>
      <c r="C1" s="270"/>
      <c r="E1" s="268" t="s">
        <v>287</v>
      </c>
      <c r="F1" s="269"/>
      <c r="G1" s="270"/>
      <c r="I1" s="273" t="s">
        <v>288</v>
      </c>
      <c r="J1" s="274"/>
      <c r="K1" s="274"/>
      <c r="M1" s="273" t="s">
        <v>289</v>
      </c>
      <c r="N1" s="274"/>
      <c r="O1" s="274"/>
    </row>
    <row r="2" spans="1:15" ht="9" customHeight="1" x14ac:dyDescent="0.45">
      <c r="B2" s="4"/>
      <c r="C2" s="14"/>
    </row>
    <row r="3" spans="1:15" x14ac:dyDescent="0.45">
      <c r="A3" s="42" t="s">
        <v>76</v>
      </c>
      <c r="B3" s="43" t="s">
        <v>54</v>
      </c>
      <c r="C3" s="43" t="s">
        <v>62</v>
      </c>
      <c r="E3" s="42" t="s">
        <v>89</v>
      </c>
      <c r="F3" s="43" t="s">
        <v>54</v>
      </c>
      <c r="G3" s="43" t="s">
        <v>62</v>
      </c>
      <c r="I3" s="42" t="s">
        <v>89</v>
      </c>
      <c r="J3" s="43" t="s">
        <v>54</v>
      </c>
      <c r="K3" s="43" t="s">
        <v>62</v>
      </c>
      <c r="M3" s="42" t="s">
        <v>89</v>
      </c>
      <c r="N3" s="43" t="s">
        <v>54</v>
      </c>
      <c r="O3" s="43" t="s">
        <v>62</v>
      </c>
    </row>
    <row r="4" spans="1:15" x14ac:dyDescent="0.45">
      <c r="A4" s="44" t="s">
        <v>5</v>
      </c>
      <c r="B4" s="6">
        <f>Overview!C53</f>
        <v>0</v>
      </c>
      <c r="C4" s="6"/>
      <c r="E4" s="44" t="s">
        <v>5</v>
      </c>
      <c r="F4" s="6">
        <f>Overview!G53</f>
        <v>16</v>
      </c>
      <c r="G4" s="6"/>
      <c r="I4" s="44" t="s">
        <v>5</v>
      </c>
      <c r="J4" s="6">
        <f>Overview!K53</f>
        <v>0</v>
      </c>
      <c r="K4" s="6"/>
      <c r="M4" s="44" t="s">
        <v>5</v>
      </c>
      <c r="N4" s="6">
        <f>Overview!O53</f>
        <v>0</v>
      </c>
      <c r="O4" s="6"/>
    </row>
    <row r="5" spans="1:15" x14ac:dyDescent="0.45">
      <c r="A5" s="44" t="s">
        <v>57</v>
      </c>
      <c r="B5" s="6">
        <f>CEILING(Overview!C54,64)</f>
        <v>3840</v>
      </c>
      <c r="C5" s="6"/>
      <c r="E5" s="44" t="s">
        <v>57</v>
      </c>
      <c r="F5" s="6">
        <f>CEILING(Overview!G54,16)</f>
        <v>3840</v>
      </c>
      <c r="G5" s="6"/>
      <c r="I5" s="44" t="s">
        <v>57</v>
      </c>
      <c r="J5" s="6">
        <f>CEILING(Overview!K54,16)</f>
        <v>1920</v>
      </c>
      <c r="K5" s="6"/>
      <c r="M5" s="44" t="s">
        <v>57</v>
      </c>
      <c r="N5" s="6">
        <f>CEILING(Overview!O54,16)</f>
        <v>1920</v>
      </c>
      <c r="O5" s="6"/>
    </row>
    <row r="6" spans="1:15" x14ac:dyDescent="0.45">
      <c r="A6" s="44" t="s">
        <v>58</v>
      </c>
      <c r="B6" s="6">
        <f>CEILING(Overview!C55,64)</f>
        <v>2176</v>
      </c>
      <c r="C6" s="6"/>
      <c r="E6" s="44" t="s">
        <v>58</v>
      </c>
      <c r="F6" s="6">
        <f>CEILING(Overview!G55,16)</f>
        <v>2160</v>
      </c>
      <c r="G6" s="6"/>
      <c r="I6" s="44" t="s">
        <v>58</v>
      </c>
      <c r="J6" s="6">
        <f>CEILING(Overview!K55,16)</f>
        <v>1088</v>
      </c>
      <c r="K6" s="6"/>
      <c r="M6" s="44" t="s">
        <v>58</v>
      </c>
      <c r="N6" s="6">
        <f>CEILING(Overview!O55,16)</f>
        <v>1088</v>
      </c>
      <c r="O6" s="6"/>
    </row>
    <row r="7" spans="1:15" x14ac:dyDescent="0.45">
      <c r="A7" s="44" t="s">
        <v>59</v>
      </c>
      <c r="B7" s="6">
        <f>Overview!C57</f>
        <v>8192</v>
      </c>
      <c r="C7" s="6"/>
      <c r="E7" s="44" t="s">
        <v>59</v>
      </c>
      <c r="F7" s="6">
        <f>Overview!G57</f>
        <v>8192</v>
      </c>
      <c r="G7" s="6"/>
      <c r="I7" s="44" t="s">
        <v>59</v>
      </c>
      <c r="J7" s="6">
        <f>Overview!K57</f>
        <v>8192</v>
      </c>
      <c r="K7" s="6"/>
      <c r="M7" s="44" t="s">
        <v>59</v>
      </c>
      <c r="N7" s="6">
        <f>Overview!O57</f>
        <v>8192</v>
      </c>
      <c r="O7" s="6"/>
    </row>
    <row r="8" spans="1:15" x14ac:dyDescent="0.45">
      <c r="A8" s="35" t="s">
        <v>73</v>
      </c>
      <c r="B8" s="6">
        <f>IF(OR(Overview!C2="636",Overview!C2="636+"),1.5,2)</f>
        <v>1.5</v>
      </c>
      <c r="C8" s="6"/>
      <c r="E8" s="35" t="s">
        <v>73</v>
      </c>
      <c r="F8" s="6">
        <f>B8</f>
        <v>1.5</v>
      </c>
      <c r="G8" s="6"/>
      <c r="I8" s="35" t="s">
        <v>73</v>
      </c>
      <c r="J8" s="6">
        <f>B8</f>
        <v>1.5</v>
      </c>
      <c r="K8" s="6"/>
      <c r="M8" s="35" t="s">
        <v>73</v>
      </c>
      <c r="N8" s="6">
        <f>B8</f>
        <v>1.5</v>
      </c>
      <c r="O8" s="6"/>
    </row>
    <row r="9" spans="1:15" x14ac:dyDescent="0.45">
      <c r="A9" s="44" t="s">
        <v>80</v>
      </c>
      <c r="B9" s="6">
        <f>Overview!C58</f>
        <v>0.3</v>
      </c>
      <c r="C9" s="6"/>
      <c r="E9" s="44" t="s">
        <v>80</v>
      </c>
      <c r="F9" s="6">
        <f>Overview!G58</f>
        <v>0.3</v>
      </c>
      <c r="G9" s="6"/>
      <c r="I9" s="44" t="s">
        <v>80</v>
      </c>
      <c r="J9" s="6">
        <f>Overview!K58</f>
        <v>0.3</v>
      </c>
      <c r="K9" s="6"/>
      <c r="M9" s="44" t="s">
        <v>80</v>
      </c>
      <c r="N9" s="6">
        <f>Overview!O58</f>
        <v>0.3</v>
      </c>
      <c r="O9" s="6"/>
    </row>
    <row r="10" spans="1:15" x14ac:dyDescent="0.45">
      <c r="A10" s="49" t="s">
        <v>81</v>
      </c>
      <c r="B10" s="6">
        <f>Overview!C56</f>
        <v>3</v>
      </c>
      <c r="C10" s="3"/>
      <c r="E10" s="49" t="s">
        <v>81</v>
      </c>
      <c r="F10" s="6">
        <f>Overview!G56</f>
        <v>2</v>
      </c>
      <c r="G10" s="3"/>
      <c r="I10" s="49" t="s">
        <v>81</v>
      </c>
      <c r="J10" s="6">
        <f>Overview!K56</f>
        <v>3</v>
      </c>
      <c r="K10" s="3"/>
      <c r="M10" s="49" t="s">
        <v>81</v>
      </c>
      <c r="N10" s="6">
        <f>Overview!O56</f>
        <v>3</v>
      </c>
      <c r="O10" s="3"/>
    </row>
    <row r="11" spans="1:15" x14ac:dyDescent="0.45">
      <c r="A11" s="50" t="s">
        <v>82</v>
      </c>
      <c r="B11" s="6">
        <f>Overview!C60</f>
        <v>7</v>
      </c>
      <c r="C11" s="6"/>
      <c r="E11" s="50" t="s">
        <v>82</v>
      </c>
      <c r="F11" s="6">
        <f>Overview!G60</f>
        <v>7</v>
      </c>
      <c r="G11" s="6"/>
      <c r="I11" s="50" t="s">
        <v>82</v>
      </c>
      <c r="J11" s="6">
        <f>Overview!K60</f>
        <v>7</v>
      </c>
      <c r="K11" s="6"/>
      <c r="M11" s="50" t="s">
        <v>82</v>
      </c>
      <c r="N11" s="6">
        <f>Overview!O60</f>
        <v>7</v>
      </c>
      <c r="O11" s="6"/>
    </row>
    <row r="12" spans="1:15" x14ac:dyDescent="0.45">
      <c r="A12" s="44" t="s">
        <v>4</v>
      </c>
      <c r="B12" s="6">
        <f>IF(Overview!C59=0,0,1/(Overview!C59*Overview!C59))</f>
        <v>0.25</v>
      </c>
      <c r="C12" s="6" t="s">
        <v>83</v>
      </c>
      <c r="E12" s="44" t="s">
        <v>4</v>
      </c>
      <c r="F12" s="6">
        <f>IF(Overview!G59=0,0,1/(Overview!G59*Overview!G59))</f>
        <v>0.25</v>
      </c>
      <c r="G12" s="6" t="s">
        <v>83</v>
      </c>
      <c r="I12" s="44" t="s">
        <v>4</v>
      </c>
      <c r="J12" s="6">
        <f>IF(Overview!K59=0,0,1/(Overview!K59*Overview!K59))</f>
        <v>0.25</v>
      </c>
      <c r="K12" s="6" t="s">
        <v>83</v>
      </c>
      <c r="M12" s="44" t="s">
        <v>4</v>
      </c>
      <c r="N12" s="6">
        <f>IF(Overview!O59=0,0,1/(Overview!O59*Overview!O59))</f>
        <v>0.25</v>
      </c>
      <c r="O12" s="6" t="s">
        <v>83</v>
      </c>
    </row>
    <row r="13" spans="1:15" x14ac:dyDescent="0.45">
      <c r="A13" s="44" t="s">
        <v>85</v>
      </c>
      <c r="B13" s="6">
        <f>CEILING(CEILING(B5,64)*CEILING(B6,64)/16/1024,4)</f>
        <v>512</v>
      </c>
      <c r="C13" s="6"/>
      <c r="E13" s="44" t="s">
        <v>85</v>
      </c>
      <c r="F13" s="6">
        <f>CEILING(CEILING(F5,64)*CEILING(F6,64)/16/1024,4)</f>
        <v>512</v>
      </c>
      <c r="G13" s="6"/>
      <c r="I13" s="44" t="s">
        <v>85</v>
      </c>
      <c r="J13" s="6">
        <f>CEILING(CEILING(J5,64)*CEILING(J6,64)/16/1024,4)</f>
        <v>128</v>
      </c>
      <c r="K13" s="6"/>
      <c r="M13" s="44" t="s">
        <v>85</v>
      </c>
      <c r="N13" s="6">
        <f>CEILING(CEILING(N5,64)*CEILING(N6,64)/16/1024,4)</f>
        <v>128</v>
      </c>
      <c r="O13" s="6"/>
    </row>
    <row r="14" spans="1:15" x14ac:dyDescent="0.45">
      <c r="A14" s="44" t="s">
        <v>182</v>
      </c>
      <c r="B14" s="6">
        <f>IF(B4&gt;0,CEILING((DEC_YUV_SIZE(B5,B6)+DEC_SIDE_SIZE(B5,B6))/1024, 4),0)</f>
        <v>0</v>
      </c>
      <c r="C14" s="6"/>
      <c r="E14" s="112" t="s">
        <v>182</v>
      </c>
      <c r="F14" s="6">
        <f>IF(F4&gt;0,CEILING((DEC_YUV_SIZE(F5,F6)+DEC_SIDE_SIZE(F5,F6))/1024, 4),0)</f>
        <v>12648</v>
      </c>
      <c r="G14" s="6"/>
      <c r="I14" s="112" t="s">
        <v>182</v>
      </c>
      <c r="J14" s="6">
        <f>IF(J4&gt;0,CEILING((DEC_YUV_SIZE(J5,J6)+DEC_SIDE_SIZE(J5,J6))/1024, 4),0)</f>
        <v>0</v>
      </c>
      <c r="K14" s="6"/>
      <c r="M14" s="112" t="s">
        <v>182</v>
      </c>
      <c r="N14" s="6">
        <f>IF(N4&gt;0,CEILING((DEC_YUV_SIZE(N5,N6)+DEC_SIDE_SIZE(N5,N6))/1024, 4),0)</f>
        <v>0</v>
      </c>
      <c r="O14" s="6"/>
    </row>
    <row r="15" spans="1:15" x14ac:dyDescent="0.45">
      <c r="A15" s="44" t="s">
        <v>84</v>
      </c>
      <c r="B15" s="6">
        <f>IF(B4&gt;0,DEC_BS_SIZE(B5,B6,B9)/1024,0)</f>
        <v>0</v>
      </c>
      <c r="C15" s="6"/>
      <c r="E15" s="44" t="s">
        <v>84</v>
      </c>
      <c r="F15" s="6">
        <f>IF(F4&gt;0,DEC_BS_SIZE(F5,F6,F9)/1024,0)</f>
        <v>3645</v>
      </c>
      <c r="G15" s="6"/>
      <c r="I15" s="44" t="s">
        <v>84</v>
      </c>
      <c r="J15" s="6">
        <f>IF(J4&gt;0,DEC_BS_SIZE(J5,J6,J9)/1024,0)</f>
        <v>0</v>
      </c>
      <c r="K15" s="6"/>
      <c r="M15" s="44" t="s">
        <v>84</v>
      </c>
      <c r="N15" s="6">
        <f>IF(N4&gt;0,DEC_BS_SIZE(N5,N6,N9)/1024,0)</f>
        <v>0</v>
      </c>
      <c r="O15" s="6"/>
    </row>
    <row r="16" spans="1:15" x14ac:dyDescent="0.45">
      <c r="A16" s="136" t="s">
        <v>238</v>
      </c>
      <c r="B16" s="6">
        <f>CEILING(Overview!C61,64)</f>
        <v>3840</v>
      </c>
      <c r="C16" s="6"/>
      <c r="E16" s="136" t="s">
        <v>238</v>
      </c>
      <c r="F16" s="6">
        <f>CEILING(Overview!G61,64)</f>
        <v>3840</v>
      </c>
      <c r="G16" s="6"/>
      <c r="I16" s="136" t="s">
        <v>238</v>
      </c>
      <c r="J16" s="6">
        <f>CEILING(Overview!K61,64)</f>
        <v>3840</v>
      </c>
      <c r="K16" s="6"/>
      <c r="M16" s="136" t="s">
        <v>238</v>
      </c>
      <c r="N16" s="6">
        <f>CEILING(Overview!O61,64)</f>
        <v>3840</v>
      </c>
      <c r="O16" s="6"/>
    </row>
    <row r="17" spans="1:15" x14ac:dyDescent="0.45">
      <c r="A17" s="136" t="s">
        <v>239</v>
      </c>
      <c r="B17" s="6">
        <f>CEILING(Overview!C62,64)</f>
        <v>2176</v>
      </c>
      <c r="C17" s="6"/>
      <c r="E17" s="136" t="s">
        <v>239</v>
      </c>
      <c r="F17" s="6">
        <f>CEILING(Overview!G62,64)</f>
        <v>2176</v>
      </c>
      <c r="G17" s="6"/>
      <c r="I17" s="136" t="s">
        <v>239</v>
      </c>
      <c r="J17" s="6">
        <f>CEILING(Overview!K62,64)</f>
        <v>2176</v>
      </c>
      <c r="K17" s="6"/>
      <c r="M17" s="136" t="s">
        <v>239</v>
      </c>
      <c r="N17" s="6">
        <f>CEILING(Overview!O62,64)</f>
        <v>2176</v>
      </c>
      <c r="O17" s="6"/>
    </row>
    <row r="18" spans="1:15" x14ac:dyDescent="0.45">
      <c r="A18" s="136" t="s">
        <v>233</v>
      </c>
      <c r="B18" s="6">
        <f>IF(B4&gt;0,CEILING((DEC_BS_SIZE(B16,B17,B9)*4 + DEC_COL_SIZE(B16,B17)*2)/1024,4),0)</f>
        <v>0</v>
      </c>
      <c r="C18" s="6"/>
      <c r="E18" s="136" t="s">
        <v>233</v>
      </c>
      <c r="F18" s="6">
        <f>IF(F4&gt;0,CEILING((DEC_BS_SIZE(F16,F17,F9)*4 + DEC_COL_SIZE(F16,F17)*2)/1024,4),0)</f>
        <v>14840</v>
      </c>
      <c r="G18" s="6"/>
      <c r="I18" s="136" t="s">
        <v>233</v>
      </c>
      <c r="J18" s="6">
        <f>IF(J4&gt;0,CEILING((DEC_BS_SIZE(J16,J17,J9)*4 + DEC_COL_SIZE(J16,J17)*2)/1024,4),0)</f>
        <v>0</v>
      </c>
      <c r="K18" s="6"/>
      <c r="M18" s="136" t="s">
        <v>233</v>
      </c>
      <c r="N18" s="6">
        <f>IF(N4&gt;0,CEILING((DEC_BS_SIZE(N16,N17,N9)*4 + DEC_COL_SIZE(N16,N17)*2)/1024,4),0)</f>
        <v>0</v>
      </c>
      <c r="O18" s="6"/>
    </row>
    <row r="19" spans="1:15" x14ac:dyDescent="0.45">
      <c r="A19" s="185" t="s">
        <v>311</v>
      </c>
      <c r="B19" s="6">
        <f>IF(OR(Overview!C63=1,Overview!C63=3), CEILING(YUVSIZE(Overview!C11,Overview!C12,1.125)/1024,4)*Overview!C64,0)</f>
        <v>27348</v>
      </c>
      <c r="C19" s="6"/>
      <c r="E19" s="185" t="s">
        <v>311</v>
      </c>
      <c r="F19" s="6">
        <f>IF(OR(Overview!G63=1,Overview!G63=3), CEILING(YUVSIZE(Overview!C11,Overview!C12,1.125)/1024,4)*Overview!G64,0)</f>
        <v>27348</v>
      </c>
      <c r="G19" s="6"/>
      <c r="I19" s="185" t="s">
        <v>311</v>
      </c>
      <c r="J19" s="6">
        <f>IF(OR(Overview!K63=1,Overview!K63=3), CEILING(YUVSIZE(Overview!C11,Overview!C12,1.125)/1024,4)*Overview!K64,0)</f>
        <v>27348</v>
      </c>
      <c r="K19" s="6"/>
      <c r="M19" s="185" t="s">
        <v>314</v>
      </c>
      <c r="N19" s="6">
        <f>IF(OR(Overview!O63=1,Overview!O63=3), CEILING(YUVSIZE(Overview!C11,Overview!C12,1.125)/1024,4)*Overview!O64,0)</f>
        <v>27348</v>
      </c>
      <c r="O19" s="6"/>
    </row>
    <row r="20" spans="1:15" x14ac:dyDescent="0.45">
      <c r="A20" s="185" t="s">
        <v>312</v>
      </c>
      <c r="B20" s="6">
        <f>IF(OR(Overview!C63=2,Overview!C63=3), CEILING(YUVSIZE(Overview!C41,Overview!C42,1.125)/1024,4)*Overview!C64,0)</f>
        <v>1428</v>
      </c>
      <c r="C20" s="6"/>
      <c r="E20" s="185" t="s">
        <v>313</v>
      </c>
      <c r="F20" s="6">
        <f>IF(OR(Overview!G63=2,Overview!G63=3), CEILING(YUVSIZE(Overview!C41,Overview!C42,1.125)/1024,4)*Overview!G64,0)</f>
        <v>1428</v>
      </c>
      <c r="G20" s="6"/>
      <c r="I20" s="185" t="s">
        <v>313</v>
      </c>
      <c r="J20" s="6">
        <f>IF(OR(Overview!K63=2,Overview!K63=3), CEILING(YUVSIZE(Overview!C41,Overview!C42,1.125)/1024,4)*Overview!K64,0)</f>
        <v>1428</v>
      </c>
      <c r="K20" s="6"/>
      <c r="M20" s="185" t="s">
        <v>313</v>
      </c>
      <c r="N20" s="6">
        <f>IF(OR(Overview!O63=2,Overview!O63=3), CEILING(YUVSIZE(Overview!C41,Overview!C42,1.125)/1024,4)*Overview!O64,0)</f>
        <v>1428</v>
      </c>
      <c r="O20" s="6"/>
    </row>
    <row r="21" spans="1:15" x14ac:dyDescent="0.45">
      <c r="A21" s="48" t="s">
        <v>78</v>
      </c>
      <c r="B21" s="6">
        <f>CEILING(((B15*2)+(B7/8/25)*(B11-2))*B4,4)+F21+J21+N21</f>
        <v>119920</v>
      </c>
      <c r="C21" s="51"/>
      <c r="E21" s="48" t="s">
        <v>78</v>
      </c>
      <c r="F21" s="6">
        <f>CEILING(((F15*2)+(F7/8/25)*(F11-2))*F4,4)</f>
        <v>119920</v>
      </c>
      <c r="G21" s="51" t="s">
        <v>174</v>
      </c>
      <c r="I21" s="48" t="s">
        <v>78</v>
      </c>
      <c r="J21" s="6">
        <f>IF(Overview!$C$2="636+",CEILING(((J15*2)+(J7/8/25)*(J11-2))*J4,4),0)</f>
        <v>0</v>
      </c>
      <c r="K21" s="51" t="s">
        <v>173</v>
      </c>
      <c r="M21" s="48" t="s">
        <v>78</v>
      </c>
      <c r="N21" s="6">
        <f>IF(Overview!$C$2="636+",CEILING(((N15*2)+(N7/8/25)*(N11-2))*N4,4),0)</f>
        <v>0</v>
      </c>
      <c r="O21" s="51" t="s">
        <v>175</v>
      </c>
    </row>
    <row r="22" spans="1:15" x14ac:dyDescent="0.45">
      <c r="A22" s="48" t="s">
        <v>77</v>
      </c>
      <c r="B22" s="6">
        <f>IF(B4&gt;0,CEILING(B14+B13,4)*B4*B10+B19+B20,0)</f>
        <v>0</v>
      </c>
      <c r="C22" s="6"/>
      <c r="E22" s="111" t="s">
        <v>77</v>
      </c>
      <c r="F22" s="6">
        <f>IF(F4&gt;0,CEILING(F14+F13,4)*F4*F10+F19+F20,0)</f>
        <v>449896</v>
      </c>
      <c r="G22" s="6"/>
      <c r="I22" s="111" t="s">
        <v>77</v>
      </c>
      <c r="J22" s="6">
        <f>IF(J4&gt;0,CEILING(J14+J13,4)*J4*J10+J19+J20,0)</f>
        <v>0</v>
      </c>
      <c r="K22" s="6"/>
      <c r="M22" s="111" t="s">
        <v>77</v>
      </c>
      <c r="N22" s="6">
        <f>IF(N4&gt;0,CEILING(N14+N13,4)*N4*N10+N19+N20,0)</f>
        <v>0</v>
      </c>
      <c r="O22" s="6"/>
    </row>
    <row r="23" spans="1:15" x14ac:dyDescent="0.45">
      <c r="A23" s="48" t="s">
        <v>79</v>
      </c>
      <c r="B23" s="6">
        <f>CEILING(B14,4)*B4*B10*B12</f>
        <v>0</v>
      </c>
      <c r="C23" s="6"/>
      <c r="E23" s="111" t="s">
        <v>79</v>
      </c>
      <c r="F23" s="6">
        <f>CEILING(F14,4)*F4*F10*F12</f>
        <v>101184</v>
      </c>
      <c r="G23" s="6"/>
      <c r="I23" s="111" t="s">
        <v>79</v>
      </c>
      <c r="J23" s="6">
        <f>CEILING(J14,4)*J4*J10*J12</f>
        <v>0</v>
      </c>
      <c r="K23" s="6"/>
      <c r="M23" s="111" t="s">
        <v>79</v>
      </c>
      <c r="N23" s="6">
        <f>CEILING(N14,4)*N4*N10*N12</f>
        <v>0</v>
      </c>
      <c r="O23" s="6"/>
    </row>
    <row r="25" spans="1:15" x14ac:dyDescent="0.45">
      <c r="A25" s="42" t="s">
        <v>88</v>
      </c>
      <c r="B25" s="43" t="s">
        <v>54</v>
      </c>
      <c r="C25" s="43" t="s">
        <v>62</v>
      </c>
      <c r="E25" s="42" t="s">
        <v>88</v>
      </c>
      <c r="F25" s="43" t="s">
        <v>54</v>
      </c>
      <c r="G25" s="43" t="s">
        <v>62</v>
      </c>
      <c r="I25" s="42" t="s">
        <v>88</v>
      </c>
      <c r="J25" s="43" t="s">
        <v>54</v>
      </c>
      <c r="K25" s="43" t="s">
        <v>62</v>
      </c>
      <c r="M25" s="42" t="s">
        <v>88</v>
      </c>
      <c r="N25" s="43" t="s">
        <v>54</v>
      </c>
      <c r="O25" s="43" t="s">
        <v>62</v>
      </c>
    </row>
    <row r="26" spans="1:15" x14ac:dyDescent="0.45">
      <c r="A26" s="44" t="s">
        <v>5</v>
      </c>
      <c r="B26" s="6">
        <f>Overview!C65</f>
        <v>0</v>
      </c>
      <c r="C26" s="6"/>
      <c r="E26" s="44" t="s">
        <v>5</v>
      </c>
      <c r="F26" s="6">
        <f>Overview!G65</f>
        <v>0</v>
      </c>
      <c r="G26" s="6"/>
      <c r="I26" s="44" t="s">
        <v>5</v>
      </c>
      <c r="J26" s="6">
        <f>Overview!K65</f>
        <v>1</v>
      </c>
      <c r="K26" s="6"/>
      <c r="M26" s="44" t="s">
        <v>5</v>
      </c>
      <c r="N26" s="6">
        <f>Overview!O65</f>
        <v>0</v>
      </c>
      <c r="O26" s="6"/>
    </row>
    <row r="27" spans="1:15" x14ac:dyDescent="0.45">
      <c r="A27" s="44" t="s">
        <v>57</v>
      </c>
      <c r="B27" s="6">
        <f>Overview!C66</f>
        <v>2560</v>
      </c>
      <c r="C27" s="6"/>
      <c r="E27" s="44" t="s">
        <v>57</v>
      </c>
      <c r="F27" s="6">
        <f>Overview!G66</f>
        <v>2560</v>
      </c>
      <c r="G27" s="6"/>
      <c r="I27" s="44" t="s">
        <v>57</v>
      </c>
      <c r="J27" s="6">
        <f>Overview!K66</f>
        <v>2560</v>
      </c>
      <c r="K27" s="6"/>
      <c r="M27" s="44" t="s">
        <v>57</v>
      </c>
      <c r="N27" s="6">
        <f>Overview!O66</f>
        <v>2560</v>
      </c>
      <c r="O27" s="6"/>
    </row>
    <row r="28" spans="1:15" x14ac:dyDescent="0.45">
      <c r="A28" s="44" t="s">
        <v>58</v>
      </c>
      <c r="B28" s="6">
        <f>CEILING(Overview!C67,64)</f>
        <v>1472</v>
      </c>
      <c r="C28" s="6"/>
      <c r="E28" s="44" t="s">
        <v>58</v>
      </c>
      <c r="F28" s="6">
        <f>Overview!G67</f>
        <v>1440</v>
      </c>
      <c r="G28" s="6"/>
      <c r="I28" s="44" t="s">
        <v>58</v>
      </c>
      <c r="J28" s="6">
        <f>Overview!K67</f>
        <v>1440</v>
      </c>
      <c r="K28" s="6"/>
      <c r="M28" s="44" t="s">
        <v>58</v>
      </c>
      <c r="N28" s="6">
        <f>Overview!O67</f>
        <v>1440</v>
      </c>
      <c r="O28" s="6"/>
    </row>
    <row r="29" spans="1:15" x14ac:dyDescent="0.45">
      <c r="A29" s="44" t="s">
        <v>59</v>
      </c>
      <c r="B29" s="6">
        <f>Overview!C69</f>
        <v>8192</v>
      </c>
      <c r="C29" s="6"/>
      <c r="E29" s="44" t="s">
        <v>59</v>
      </c>
      <c r="F29" s="6">
        <f>Overview!G69</f>
        <v>8192</v>
      </c>
      <c r="G29" s="6"/>
      <c r="I29" s="44" t="s">
        <v>59</v>
      </c>
      <c r="J29" s="6">
        <f>Overview!K69</f>
        <v>8192</v>
      </c>
      <c r="K29" s="6"/>
      <c r="M29" s="44" t="s">
        <v>59</v>
      </c>
      <c r="N29" s="6">
        <f>Overview!O69</f>
        <v>8192</v>
      </c>
      <c r="O29" s="6"/>
    </row>
    <row r="30" spans="1:15" x14ac:dyDescent="0.45">
      <c r="A30" s="35" t="s">
        <v>73</v>
      </c>
      <c r="B30" s="6">
        <v>1.5</v>
      </c>
      <c r="C30" s="6"/>
      <c r="E30" s="35" t="s">
        <v>73</v>
      </c>
      <c r="F30" s="6">
        <f>B30</f>
        <v>1.5</v>
      </c>
      <c r="G30" s="6"/>
      <c r="I30" s="35" t="s">
        <v>73</v>
      </c>
      <c r="J30" s="6">
        <f>B30</f>
        <v>1.5</v>
      </c>
      <c r="K30" s="6"/>
      <c r="M30" s="35" t="s">
        <v>73</v>
      </c>
      <c r="N30" s="6">
        <f>B30</f>
        <v>1.5</v>
      </c>
      <c r="O30" s="6"/>
    </row>
    <row r="31" spans="1:15" x14ac:dyDescent="0.45">
      <c r="A31" s="44" t="s">
        <v>80</v>
      </c>
      <c r="B31" s="6">
        <f>Overview!C70</f>
        <v>0.3</v>
      </c>
      <c r="C31" s="6"/>
      <c r="E31" s="44" t="s">
        <v>80</v>
      </c>
      <c r="F31" s="6">
        <f>Overview!G70</f>
        <v>0.3</v>
      </c>
      <c r="G31" s="6"/>
      <c r="I31" s="44" t="s">
        <v>80</v>
      </c>
      <c r="J31" s="6">
        <f>Overview!K70</f>
        <v>0.3</v>
      </c>
      <c r="K31" s="6"/>
      <c r="M31" s="44" t="s">
        <v>80</v>
      </c>
      <c r="N31" s="6">
        <f>Overview!O70</f>
        <v>0.3</v>
      </c>
      <c r="O31" s="6"/>
    </row>
    <row r="32" spans="1:15" x14ac:dyDescent="0.45">
      <c r="A32" s="49" t="s">
        <v>81</v>
      </c>
      <c r="B32" s="6">
        <f>Overview!C68</f>
        <v>3</v>
      </c>
      <c r="C32" s="3"/>
      <c r="E32" s="49" t="s">
        <v>81</v>
      </c>
      <c r="F32" s="6">
        <f>Overview!G68</f>
        <v>3</v>
      </c>
      <c r="G32" s="3"/>
      <c r="I32" s="49" t="s">
        <v>81</v>
      </c>
      <c r="J32" s="6">
        <f>Overview!K68</f>
        <v>4</v>
      </c>
      <c r="K32" s="3"/>
      <c r="M32" s="49" t="s">
        <v>81</v>
      </c>
      <c r="N32" s="6">
        <f>Overview!O68</f>
        <v>4</v>
      </c>
      <c r="O32" s="3"/>
    </row>
    <row r="33" spans="1:15" x14ac:dyDescent="0.45">
      <c r="A33" s="50" t="s">
        <v>82</v>
      </c>
      <c r="B33" s="6">
        <f>Overview!C72</f>
        <v>7</v>
      </c>
      <c r="C33" s="6"/>
      <c r="E33" s="50" t="s">
        <v>82</v>
      </c>
      <c r="F33" s="6">
        <f>Overview!G72</f>
        <v>7</v>
      </c>
      <c r="G33" s="6"/>
      <c r="I33" s="50" t="s">
        <v>82</v>
      </c>
      <c r="J33" s="6">
        <f>Overview!K72</f>
        <v>7</v>
      </c>
      <c r="K33" s="6"/>
      <c r="M33" s="50" t="s">
        <v>82</v>
      </c>
      <c r="N33" s="6">
        <f>Overview!O72</f>
        <v>7</v>
      </c>
      <c r="O33" s="6"/>
    </row>
    <row r="34" spans="1:15" x14ac:dyDescent="0.45">
      <c r="A34" s="44" t="s">
        <v>4</v>
      </c>
      <c r="B34" s="6">
        <f>IF(Overview!C71=0,0,1/(Overview!C71*Overview!C71))</f>
        <v>0.25</v>
      </c>
      <c r="C34" s="6" t="s">
        <v>83</v>
      </c>
      <c r="E34" s="44" t="s">
        <v>4</v>
      </c>
      <c r="F34" s="6">
        <f>IF(Overview!G71=0,0,1/(Overview!G71*Overview!G71))</f>
        <v>0.25</v>
      </c>
      <c r="G34" s="6" t="s">
        <v>83</v>
      </c>
      <c r="I34" s="44" t="s">
        <v>4</v>
      </c>
      <c r="J34" s="6">
        <f>IF(Overview!K71=0,0,1/(Overview!K71*Overview!K71))</f>
        <v>0.25</v>
      </c>
      <c r="K34" s="6" t="s">
        <v>83</v>
      </c>
      <c r="M34" s="44" t="s">
        <v>4</v>
      </c>
      <c r="N34" s="6">
        <f>IF(Overview!O71=0,0,1/(Overview!O71*Overview!O71))</f>
        <v>0.25</v>
      </c>
      <c r="O34" s="6" t="s">
        <v>83</v>
      </c>
    </row>
    <row r="35" spans="1:15" x14ac:dyDescent="0.45">
      <c r="A35" s="44" t="s">
        <v>85</v>
      </c>
      <c r="B35" s="6">
        <f>CEILING(CEILING(B27,64)*CEILING(B28,64)/16/1024,4)</f>
        <v>232</v>
      </c>
      <c r="C35" s="6"/>
      <c r="E35" s="44" t="s">
        <v>85</v>
      </c>
      <c r="F35" s="6">
        <f>CEILING(CEILING(F27,64)*CEILING(F28,64)/16/1024,4)</f>
        <v>232</v>
      </c>
      <c r="G35" s="6"/>
      <c r="I35" s="44" t="s">
        <v>85</v>
      </c>
      <c r="J35" s="6">
        <f>CEILING(CEILING(J27,64)*CEILING(J28,64)/16/1024,4)</f>
        <v>232</v>
      </c>
      <c r="K35" s="6"/>
      <c r="M35" s="44" t="s">
        <v>85</v>
      </c>
      <c r="N35" s="6">
        <f>CEILING(CEILING(N27,64)*CEILING(N28,64)/16/1024,4)</f>
        <v>232</v>
      </c>
      <c r="O35" s="6"/>
    </row>
    <row r="36" spans="1:15" x14ac:dyDescent="0.45">
      <c r="A36" s="112" t="s">
        <v>182</v>
      </c>
      <c r="B36" s="6">
        <f>IF(B26&gt;0,CEILING((DEC_YUV_SIZE(B27,B28)+DEC_SIDE_SIZE(B27,B28))/1024, 4),0)</f>
        <v>0</v>
      </c>
      <c r="C36" s="6"/>
      <c r="E36" s="112" t="s">
        <v>182</v>
      </c>
      <c r="F36" s="6">
        <f>IF(F26&gt;0,CEILING((DEC_YUV_SIZE(F27,F28)+DEC_SIDE_SIZE(F27,F28))/1024, 4),0)</f>
        <v>0</v>
      </c>
      <c r="G36" s="6"/>
      <c r="I36" s="112" t="s">
        <v>182</v>
      </c>
      <c r="J36" s="6">
        <f>IF(J26&gt;0,CEILING((DEC_YUV_SIZE(J27,J28)+DEC_SIDE_SIZE(J27,J28))/1024, 4),0)</f>
        <v>5696</v>
      </c>
      <c r="K36" s="6"/>
      <c r="M36" s="112" t="s">
        <v>182</v>
      </c>
      <c r="N36" s="6">
        <f>IF(N26&gt;0,CEILING((DEC_YUV_SIZE(N27,N28)+DEC_SIDE_SIZE(N27,N28))/1024, 4),0)</f>
        <v>0</v>
      </c>
      <c r="O36" s="6"/>
    </row>
    <row r="37" spans="1:15" x14ac:dyDescent="0.45">
      <c r="A37" s="44" t="s">
        <v>84</v>
      </c>
      <c r="B37" s="6">
        <f>IF(B26&gt;0,DEC_BS_SIZE(B27,B28,B31)/1024,0)</f>
        <v>0</v>
      </c>
      <c r="C37" s="6"/>
      <c r="E37" s="44" t="s">
        <v>84</v>
      </c>
      <c r="F37" s="6">
        <f>IF(F26&gt;0,DEC_BS_SIZE(F27,F28,F31)/1024,0)</f>
        <v>0</v>
      </c>
      <c r="G37" s="6"/>
      <c r="I37" s="44" t="s">
        <v>84</v>
      </c>
      <c r="J37" s="6">
        <f>IF(J26&gt;0,DEC_BS_SIZE(J27,J28,J31)/1024,0)</f>
        <v>1620</v>
      </c>
      <c r="K37" s="6"/>
      <c r="M37" s="44" t="s">
        <v>84</v>
      </c>
      <c r="N37" s="6">
        <f>IF(N26&gt;0,DEC_BS_SIZE(N27,N28,N31)/1024,0)</f>
        <v>0</v>
      </c>
      <c r="O37" s="6"/>
    </row>
    <row r="38" spans="1:15" x14ac:dyDescent="0.45">
      <c r="A38" s="136" t="s">
        <v>238</v>
      </c>
      <c r="B38" s="6">
        <f>CEILING(Overview!C73,64)</f>
        <v>3840</v>
      </c>
      <c r="C38" s="6"/>
      <c r="E38" s="136" t="s">
        <v>238</v>
      </c>
      <c r="F38" s="6">
        <f>CEILING(Overview!G73,64)</f>
        <v>3840</v>
      </c>
      <c r="G38" s="6"/>
      <c r="I38" s="136" t="s">
        <v>238</v>
      </c>
      <c r="J38" s="6">
        <f>CEILING(Overview!K73,64)</f>
        <v>3840</v>
      </c>
      <c r="K38" s="6"/>
      <c r="M38" s="136" t="s">
        <v>238</v>
      </c>
      <c r="N38" s="6">
        <f>CEILING(Overview!O73,64)</f>
        <v>3840</v>
      </c>
      <c r="O38" s="6"/>
    </row>
    <row r="39" spans="1:15" x14ac:dyDescent="0.45">
      <c r="A39" s="136" t="s">
        <v>239</v>
      </c>
      <c r="B39" s="6">
        <f>CEILING(Overview!C74,64)</f>
        <v>2176</v>
      </c>
      <c r="C39" s="6"/>
      <c r="E39" s="136" t="s">
        <v>239</v>
      </c>
      <c r="F39" s="6">
        <f>CEILING(Overview!G74,64)</f>
        <v>2176</v>
      </c>
      <c r="G39" s="6"/>
      <c r="I39" s="136" t="s">
        <v>239</v>
      </c>
      <c r="J39" s="6">
        <f>CEILING(Overview!K74,64)</f>
        <v>2176</v>
      </c>
      <c r="K39" s="6"/>
      <c r="M39" s="136" t="s">
        <v>239</v>
      </c>
      <c r="N39" s="6">
        <f>CEILING(Overview!O74,64)</f>
        <v>2176</v>
      </c>
      <c r="O39" s="6"/>
    </row>
    <row r="40" spans="1:15" x14ac:dyDescent="0.45">
      <c r="A40" s="136" t="s">
        <v>233</v>
      </c>
      <c r="B40" s="6">
        <f>IF(B26&gt;0,CEILING((DEC_BS_SIZE(B38,B39,B31)*4 + DEC_COL_SIZE(B38,B39)*2)/1024,4),0)</f>
        <v>0</v>
      </c>
      <c r="C40" s="6"/>
      <c r="E40" s="136" t="s">
        <v>233</v>
      </c>
      <c r="F40" s="6">
        <f>IF(F26&gt;0,CEILING((DEC_BS_SIZE(F38,F39,F31)*4 + DEC_COL_SIZE(F38,F39)*2)/1024,4),0)</f>
        <v>0</v>
      </c>
      <c r="G40" s="6"/>
      <c r="I40" s="136" t="s">
        <v>233</v>
      </c>
      <c r="J40" s="6">
        <f>IF(J26&gt;0,CEILING((DEC_BS_SIZE(J38,J39,J31)*4 + DEC_COL_SIZE(J38,J39)*2)/1024,4),0)</f>
        <v>14840</v>
      </c>
      <c r="K40" s="6"/>
      <c r="M40" s="136" t="s">
        <v>233</v>
      </c>
      <c r="N40" s="6">
        <f>IF(N26&gt;0,CEILING((DEC_BS_SIZE(N38,N39,N31)*4 + DEC_COL_SIZE(N38,N39)*2)/1024,4),0)</f>
        <v>0</v>
      </c>
      <c r="O40" s="6"/>
    </row>
    <row r="41" spans="1:15" x14ac:dyDescent="0.45">
      <c r="A41" s="185" t="s">
        <v>311</v>
      </c>
      <c r="B41" s="6">
        <f>IF(OR(Overview!C75=1,Overview!C75=3), CEILING(YUVSIZE(Overview!C11,Overview!C12,1.125)/1024,4)*Overview!C76,0)</f>
        <v>27348</v>
      </c>
      <c r="C41" s="6"/>
      <c r="E41" s="185" t="s">
        <v>315</v>
      </c>
      <c r="F41" s="6">
        <f>IF(OR(Overview!G75=1,Overview!G75=3), CEILING(YUVSIZE(Overview!C11,Overview!C12,1.125)/1024,4)*Overview!G76,0)</f>
        <v>27348</v>
      </c>
      <c r="G41" s="6"/>
      <c r="I41" s="185" t="s">
        <v>315</v>
      </c>
      <c r="J41" s="6">
        <f>IF(OR(Overview!K75=1,Overview!K75=3), CEILING(YUVSIZE(Overview!C11,Overview!C12,1.125)/1024,4)*Overview!K76,0)</f>
        <v>27348</v>
      </c>
      <c r="K41" s="6"/>
      <c r="M41" s="185" t="s">
        <v>316</v>
      </c>
      <c r="N41" s="6">
        <f>IF(OR(Overview!O75=1,Overview!O75=3), CEILING(YUVSIZE(Overview!C11,Overview!C12,1.125)/1024,4)*Overview!O76,0)</f>
        <v>27348</v>
      </c>
      <c r="O41" s="6"/>
    </row>
    <row r="42" spans="1:15" x14ac:dyDescent="0.45">
      <c r="A42" s="185" t="s">
        <v>312</v>
      </c>
      <c r="B42" s="6">
        <f>IF(OR(Overview!C75=2,Overview!C75=3), CEILING(YUVSIZE(Overview!C41,Overview!C42,1.125)/1024,4)*Overview!C76,0)</f>
        <v>0</v>
      </c>
      <c r="C42" s="6"/>
      <c r="E42" s="185" t="s">
        <v>312</v>
      </c>
      <c r="F42" s="6">
        <f>IF(OR(Overview!G75=2,Overview!G75=3), CEILING(YUVSIZE(Overview!C41,Overview!C42,1.125)/1024,4)*Overview!G76,0)</f>
        <v>0</v>
      </c>
      <c r="G42" s="6"/>
      <c r="I42" s="185" t="s">
        <v>312</v>
      </c>
      <c r="J42" s="6">
        <f>IF(OR(Overview!K75=2,Overview!K75=3), CEILING(YUVSIZE(Overview!C41,Overview!C42,1.125)/1024,4)*Overview!K76,0)</f>
        <v>0</v>
      </c>
      <c r="K42" s="6"/>
      <c r="M42" s="185" t="s">
        <v>313</v>
      </c>
      <c r="N42" s="6">
        <f>IF(OR(Overview!O75=2,Overview!O75=3), CEILING(YUVSIZE(Overview!C41,Overview!C42,1.125)/1024,4)*Overview!O76,0)</f>
        <v>0</v>
      </c>
      <c r="O42" s="6"/>
    </row>
    <row r="43" spans="1:15" x14ac:dyDescent="0.45">
      <c r="A43" s="111" t="s">
        <v>78</v>
      </c>
      <c r="B43" s="6">
        <f>CEILING(((B37*2)+(B29/8/25)*(B33-2))*B26,4)+F43+J43+N43</f>
        <v>0</v>
      </c>
      <c r="C43" s="51"/>
      <c r="E43" s="48" t="s">
        <v>78</v>
      </c>
      <c r="F43" s="6">
        <f>CEILING(((F37*2)+(F29/8/25)*(F33-2))*F26,4)</f>
        <v>0</v>
      </c>
      <c r="G43" s="51" t="s">
        <v>175</v>
      </c>
      <c r="I43" s="48" t="s">
        <v>78</v>
      </c>
      <c r="J43" s="6">
        <f>IF(Overview!$C$2="636+",CEILING(((J37*2)+(J29/8/25)*(J33-2))*J26,4),0)</f>
        <v>0</v>
      </c>
      <c r="K43" s="51" t="s">
        <v>174</v>
      </c>
      <c r="M43" s="48" t="s">
        <v>78</v>
      </c>
      <c r="N43" s="6">
        <f>IF(Overview!$C$2="636+",CEILING(((N37*2)+(N29/8/25)*(N33-2))*N26,4),0)</f>
        <v>0</v>
      </c>
      <c r="O43" s="51" t="s">
        <v>176</v>
      </c>
    </row>
    <row r="44" spans="1:15" x14ac:dyDescent="0.45">
      <c r="A44" s="111" t="s">
        <v>77</v>
      </c>
      <c r="B44" s="6">
        <f>IF(B26&gt;0,CEILING(B36+B35,4)*B26*B32+B41+B42,0)</f>
        <v>0</v>
      </c>
      <c r="C44" s="6"/>
      <c r="E44" s="111" t="s">
        <v>77</v>
      </c>
      <c r="F44" s="6">
        <f>IF(F26&gt;0,CEILING(F36+F35,4)*F26*F32+F41+F42,0)</f>
        <v>0</v>
      </c>
      <c r="G44" s="6"/>
      <c r="I44" s="111" t="s">
        <v>77</v>
      </c>
      <c r="J44" s="6">
        <f>IF(J26&gt;0,CEILING(J36+J35,4)*J26*J32+J41+J42,0)</f>
        <v>51060</v>
      </c>
      <c r="K44" s="6"/>
      <c r="M44" s="111" t="s">
        <v>77</v>
      </c>
      <c r="N44" s="6">
        <f>IF(N26&gt;0,CEILING(N36+N35,4)*N26*N32+N41+N42,0)</f>
        <v>0</v>
      </c>
      <c r="O44" s="6"/>
    </row>
    <row r="45" spans="1:15" x14ac:dyDescent="0.45">
      <c r="A45" s="111" t="s">
        <v>79</v>
      </c>
      <c r="B45" s="6">
        <f>CEILING(B36,4)*B26*B32*B34</f>
        <v>0</v>
      </c>
      <c r="C45" s="6"/>
      <c r="E45" s="111" t="s">
        <v>79</v>
      </c>
      <c r="F45" s="6">
        <f>CEILING(F36,4)*F26*F32*F34</f>
        <v>0</v>
      </c>
      <c r="G45" s="6"/>
      <c r="I45" s="111" t="s">
        <v>79</v>
      </c>
      <c r="J45" s="6">
        <f>CEILING(J36,4)*J26*J32*J34</f>
        <v>5696</v>
      </c>
      <c r="K45" s="6"/>
      <c r="M45" s="111" t="s">
        <v>79</v>
      </c>
      <c r="N45" s="6">
        <f>CEILING(N36,4)*N26*N32*N34</f>
        <v>0</v>
      </c>
      <c r="O45" s="6"/>
    </row>
  </sheetData>
  <mergeCells count="4">
    <mergeCell ref="A1:C1"/>
    <mergeCell ref="E1:G1"/>
    <mergeCell ref="I1:K1"/>
    <mergeCell ref="M1:O1"/>
  </mergeCells>
  <phoneticPr fontId="2" type="noConversion"/>
  <dataValidations count="1">
    <dataValidation type="whole" operator="greaterThanOrEqual" allowBlank="1" showInputMessage="1" showErrorMessage="1" sqref="B11 B33" xr:uid="{00000000-0002-0000-0600-000000000000}">
      <formula1>2</formula1>
    </dataValidation>
  </dataValidations>
  <pageMargins left="0.7" right="0.7" top="0.75" bottom="0.75" header="0.3" footer="0.3"/>
  <pageSetup paperSize="148" orientation="portrait" r:id="rId1"/>
  <legacyDrawing r:id="rId2"/>
  <extLst>
    <ext xmlns:x14="http://schemas.microsoft.com/office/spreadsheetml/2009/9/main" uri="{78C0D931-6437-407d-A8EE-F0AAD7539E65}">
      <x14:conditionalFormattings>
        <x14:conditionalFormatting xmlns:xm="http://schemas.microsoft.com/office/excel/2006/main">
          <x14:cfRule type="expression" priority="1" id="{DA00F600-2770-41F4-BA03-E8EBA07E03E0}">
            <xm:f>NOT(Overview!$C$2="636+")</xm:f>
            <x14:dxf>
              <font>
                <color theme="0"/>
              </font>
              <fill>
                <patternFill patternType="none">
                  <fgColor indexed="64"/>
                  <bgColor auto="1"/>
                </patternFill>
              </fill>
              <border>
                <left/>
                <right/>
                <top/>
                <bottom/>
                <vertical/>
                <horizontal/>
              </border>
            </x14:dxf>
          </x14:cfRule>
          <xm:sqref>I1:P45</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工作表6"/>
  <dimension ref="A1:C18"/>
  <sheetViews>
    <sheetView workbookViewId="0">
      <selection activeCell="H27" sqref="H27"/>
    </sheetView>
  </sheetViews>
  <sheetFormatPr defaultRowHeight="16.149999999999999" x14ac:dyDescent="0.45"/>
  <cols>
    <col min="1" max="1" width="37.19921875" customWidth="1"/>
    <col min="2" max="2" width="10.33203125" bestFit="1" customWidth="1"/>
  </cols>
  <sheetData>
    <row r="1" spans="1:3" x14ac:dyDescent="0.45">
      <c r="A1" s="268" t="s">
        <v>36</v>
      </c>
      <c r="B1" s="269"/>
      <c r="C1" s="270"/>
    </row>
    <row r="2" spans="1:3" ht="8" customHeight="1" x14ac:dyDescent="0.45">
      <c r="B2" s="4"/>
      <c r="C2" s="14"/>
    </row>
    <row r="3" spans="1:3" x14ac:dyDescent="0.45">
      <c r="A3" s="38" t="s">
        <v>130</v>
      </c>
      <c r="B3" s="39" t="s">
        <v>0</v>
      </c>
      <c r="C3" s="39" t="s">
        <v>62</v>
      </c>
    </row>
    <row r="4" spans="1:3" x14ac:dyDescent="0.45">
      <c r="A4" s="35" t="s">
        <v>132</v>
      </c>
      <c r="B4" s="5">
        <f>Overview!C128</f>
        <v>0</v>
      </c>
      <c r="C4" s="5"/>
    </row>
    <row r="5" spans="1:3" x14ac:dyDescent="0.45">
      <c r="A5" s="35" t="s">
        <v>65</v>
      </c>
      <c r="B5" s="5">
        <f>Overview!C130</f>
        <v>1</v>
      </c>
      <c r="C5" s="5"/>
    </row>
    <row r="6" spans="1:3" x14ac:dyDescent="0.45">
      <c r="A6" s="35" t="s">
        <v>138</v>
      </c>
      <c r="B6" s="5">
        <f>Overview!C131</f>
        <v>16</v>
      </c>
      <c r="C6" s="5"/>
    </row>
    <row r="7" spans="1:3" x14ac:dyDescent="0.45">
      <c r="A7" s="35" t="s">
        <v>133</v>
      </c>
      <c r="B7" s="5">
        <f>Overview!C132</f>
        <v>640</v>
      </c>
      <c r="C7" s="5"/>
    </row>
    <row r="8" spans="1:3" x14ac:dyDescent="0.45">
      <c r="A8" s="35" t="s">
        <v>134</v>
      </c>
      <c r="B8" s="5">
        <v>1</v>
      </c>
      <c r="C8" s="5"/>
    </row>
    <row r="9" spans="1:3" x14ac:dyDescent="0.45">
      <c r="A9" s="9" t="s">
        <v>135</v>
      </c>
      <c r="B9" s="5">
        <f>Overview!C133</f>
        <v>20</v>
      </c>
      <c r="C9" s="5"/>
    </row>
    <row r="10" spans="1:3" x14ac:dyDescent="0.45">
      <c r="A10" s="36" t="s">
        <v>131</v>
      </c>
      <c r="B10" s="5">
        <f>CEILING((B7*B5*B6*B4/8)*B9*B8/1024,4)</f>
        <v>0</v>
      </c>
      <c r="C10" s="5"/>
    </row>
    <row r="12" spans="1:3" x14ac:dyDescent="0.45">
      <c r="A12" s="38" t="s">
        <v>136</v>
      </c>
      <c r="B12" s="39" t="s">
        <v>0</v>
      </c>
      <c r="C12" s="39" t="s">
        <v>62</v>
      </c>
    </row>
    <row r="13" spans="1:3" x14ac:dyDescent="0.45">
      <c r="A13" s="44" t="s">
        <v>132</v>
      </c>
      <c r="B13" s="5">
        <f>Overview!C134</f>
        <v>3</v>
      </c>
      <c r="C13" s="5"/>
    </row>
    <row r="14" spans="1:3" x14ac:dyDescent="0.45">
      <c r="A14" s="44" t="s">
        <v>65</v>
      </c>
      <c r="B14" s="5">
        <f>Overview!C136</f>
        <v>1</v>
      </c>
      <c r="C14" s="5"/>
    </row>
    <row r="15" spans="1:3" x14ac:dyDescent="0.45">
      <c r="A15" s="35" t="s">
        <v>138</v>
      </c>
      <c r="B15" s="5">
        <f>Overview!C137</f>
        <v>16</v>
      </c>
      <c r="C15" s="5"/>
    </row>
    <row r="16" spans="1:3" x14ac:dyDescent="0.45">
      <c r="A16" s="35" t="s">
        <v>133</v>
      </c>
      <c r="B16" s="8">
        <f>Overview!C138</f>
        <v>1024</v>
      </c>
      <c r="C16" s="5"/>
    </row>
    <row r="17" spans="1:3" x14ac:dyDescent="0.45">
      <c r="A17" s="9" t="s">
        <v>135</v>
      </c>
      <c r="B17" s="8">
        <f>Overview!C139</f>
        <v>10</v>
      </c>
      <c r="C17" s="5"/>
    </row>
    <row r="18" spans="1:3" x14ac:dyDescent="0.45">
      <c r="A18" s="68" t="s">
        <v>137</v>
      </c>
      <c r="B18" s="5">
        <f>CEILING((B16*B14*B15*B13/8)*B17/1024,4)</f>
        <v>60</v>
      </c>
      <c r="C18" s="5"/>
    </row>
  </sheetData>
  <mergeCells count="1">
    <mergeCell ref="A1:C1"/>
  </mergeCells>
  <phoneticPr fontId="2" type="noConversion"/>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工作表7"/>
  <dimension ref="A1:C17"/>
  <sheetViews>
    <sheetView workbookViewId="0">
      <selection activeCell="B16" sqref="B16"/>
    </sheetView>
  </sheetViews>
  <sheetFormatPr defaultRowHeight="16.149999999999999" x14ac:dyDescent="0.45"/>
  <cols>
    <col min="1" max="1" width="33.796875" customWidth="1"/>
    <col min="2" max="2" width="10.19921875" customWidth="1"/>
    <col min="3" max="3" width="10.6640625" customWidth="1"/>
  </cols>
  <sheetData>
    <row r="1" spans="1:3" x14ac:dyDescent="0.45">
      <c r="A1" s="268" t="s">
        <v>36</v>
      </c>
      <c r="B1" s="269"/>
      <c r="C1" s="270"/>
    </row>
    <row r="2" spans="1:3" ht="4.25" customHeight="1" x14ac:dyDescent="0.45"/>
    <row r="3" spans="1:3" x14ac:dyDescent="0.45">
      <c r="A3" s="75" t="s">
        <v>144</v>
      </c>
      <c r="B3" s="75" t="s">
        <v>0</v>
      </c>
      <c r="C3" s="76" t="s">
        <v>140</v>
      </c>
    </row>
    <row r="4" spans="1:3" x14ac:dyDescent="0.45">
      <c r="A4" s="44" t="s">
        <v>171</v>
      </c>
      <c r="B4" s="6">
        <f>IF(Overview!C120=0,0,1)</f>
        <v>1</v>
      </c>
      <c r="C4" s="5"/>
    </row>
    <row r="5" spans="1:3" x14ac:dyDescent="0.45">
      <c r="A5" s="44" t="s">
        <v>139</v>
      </c>
      <c r="B5" s="6">
        <f>Overview!C121</f>
        <v>1920</v>
      </c>
      <c r="C5" s="5"/>
    </row>
    <row r="6" spans="1:3" x14ac:dyDescent="0.45">
      <c r="A6" s="44" t="s">
        <v>58</v>
      </c>
      <c r="B6" s="6">
        <f>Overview!C122</f>
        <v>1080</v>
      </c>
      <c r="C6" s="5"/>
    </row>
    <row r="7" spans="1:3" x14ac:dyDescent="0.45">
      <c r="A7" s="50" t="s">
        <v>3</v>
      </c>
      <c r="B7" s="10">
        <f>Overview!C123</f>
        <v>4</v>
      </c>
      <c r="C7" s="5"/>
    </row>
    <row r="8" spans="1:3" x14ac:dyDescent="0.45">
      <c r="A8" s="44" t="s">
        <v>21</v>
      </c>
      <c r="B8" s="73">
        <f>Overview!C125</f>
        <v>4096</v>
      </c>
      <c r="C8" s="5"/>
    </row>
    <row r="9" spans="1:3" x14ac:dyDescent="0.45">
      <c r="A9" s="44" t="s">
        <v>141</v>
      </c>
      <c r="B9" s="6">
        <f>Overview!C124</f>
        <v>1.125</v>
      </c>
      <c r="C9" s="5"/>
    </row>
    <row r="10" spans="1:3" x14ac:dyDescent="0.45">
      <c r="A10" s="44" t="s">
        <v>142</v>
      </c>
      <c r="B10" s="6">
        <f>Overview!C126</f>
        <v>0.3</v>
      </c>
      <c r="C10" s="5"/>
    </row>
    <row r="11" spans="1:3" x14ac:dyDescent="0.45">
      <c r="A11" s="50" t="s">
        <v>20</v>
      </c>
      <c r="B11" s="74">
        <v>7</v>
      </c>
      <c r="C11" s="5"/>
    </row>
    <row r="12" spans="1:3" x14ac:dyDescent="0.45">
      <c r="A12" s="50" t="s">
        <v>172</v>
      </c>
      <c r="B12" s="74">
        <v>1</v>
      </c>
      <c r="C12" s="5"/>
    </row>
    <row r="13" spans="1:3" x14ac:dyDescent="0.45">
      <c r="A13" s="35" t="s">
        <v>143</v>
      </c>
      <c r="B13" s="6">
        <f>CEILING(YUVSIZE(B5,B6,B9)/1024,4)</f>
        <v>2280</v>
      </c>
      <c r="C13" s="5"/>
    </row>
    <row r="14" spans="1:3" x14ac:dyDescent="0.45">
      <c r="A14" s="68" t="s">
        <v>156</v>
      </c>
      <c r="B14" s="72">
        <f>CEILING(YUVSIZE(B5,B6,B9)*B7/1024,4)*B4</f>
        <v>9116</v>
      </c>
      <c r="C14" s="5"/>
    </row>
    <row r="15" spans="1:3" x14ac:dyDescent="0.45">
      <c r="A15" s="68" t="s">
        <v>157</v>
      </c>
      <c r="B15" s="72">
        <f>CEILING((((ENC_BS_SIZE(B5,B6,B10)*2)/1024+(B8/8/30)*(B11-2))), 4)*B4</f>
        <v>1456</v>
      </c>
      <c r="C15" s="5"/>
    </row>
    <row r="16" spans="1:3" x14ac:dyDescent="0.45">
      <c r="A16" s="36" t="s">
        <v>145</v>
      </c>
      <c r="B16" s="6">
        <f>CEILING((CEILING(B5,64)*CEILING(B6,64)*1.5)*1.1/1024, 4)*B4</f>
        <v>3368</v>
      </c>
      <c r="C16" s="5"/>
    </row>
    <row r="17" spans="1:3" x14ac:dyDescent="0.45">
      <c r="A17" s="68" t="s">
        <v>146</v>
      </c>
      <c r="B17" s="6">
        <f>B12*B4</f>
        <v>1</v>
      </c>
      <c r="C17" s="5"/>
    </row>
  </sheetData>
  <mergeCells count="1">
    <mergeCell ref="A1:C1"/>
  </mergeCells>
  <phoneticPr fontId="2" type="noConversion"/>
  <dataValidations count="1">
    <dataValidation type="whole" operator="greaterThanOrEqual" allowBlank="1" showInputMessage="1" showErrorMessage="1" sqref="B11" xr:uid="{00000000-0002-0000-0800-000000000000}">
      <formula1>2</formula1>
    </dataValidation>
  </dataValidations>
  <pageMargins left="0.7" right="0.7" top="0.75" bottom="0.75" header="0.3" footer="0.3"/>
  <pageSetup paperSize="148"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工作表8"/>
  <dimension ref="A1:O27"/>
  <sheetViews>
    <sheetView workbookViewId="0">
      <selection activeCell="F6" sqref="F6"/>
    </sheetView>
  </sheetViews>
  <sheetFormatPr defaultRowHeight="16.149999999999999" x14ac:dyDescent="0.45"/>
  <cols>
    <col min="1" max="1" width="19.33203125" customWidth="1"/>
    <col min="4" max="4" width="1.1328125" customWidth="1"/>
    <col min="5" max="5" width="19.86328125" customWidth="1"/>
    <col min="8" max="8" width="1.1328125" customWidth="1"/>
    <col min="9" max="9" width="20" customWidth="1"/>
    <col min="12" max="12" width="1" customWidth="1"/>
    <col min="13" max="13" width="19.86328125" customWidth="1"/>
  </cols>
  <sheetData>
    <row r="1" spans="1:15" x14ac:dyDescent="0.45">
      <c r="A1" s="268" t="s">
        <v>290</v>
      </c>
      <c r="B1" s="269"/>
      <c r="C1" s="270"/>
      <c r="E1" s="268" t="s">
        <v>287</v>
      </c>
      <c r="F1" s="269"/>
      <c r="G1" s="270"/>
      <c r="I1" s="273" t="s">
        <v>288</v>
      </c>
      <c r="J1" s="275"/>
      <c r="K1" s="276"/>
      <c r="M1" s="273" t="s">
        <v>289</v>
      </c>
      <c r="N1" s="275"/>
      <c r="O1" s="276"/>
    </row>
    <row r="2" spans="1:15" ht="3.6" customHeight="1" x14ac:dyDescent="0.45">
      <c r="B2" s="4"/>
      <c r="C2" s="14"/>
      <c r="F2" s="4"/>
      <c r="G2" s="14"/>
      <c r="J2" s="4"/>
      <c r="K2" s="14"/>
      <c r="N2" s="4"/>
      <c r="O2" s="14"/>
    </row>
    <row r="3" spans="1:15" ht="32.25" x14ac:dyDescent="0.45">
      <c r="A3" s="38" t="s">
        <v>147</v>
      </c>
      <c r="B3" s="39" t="s">
        <v>0</v>
      </c>
      <c r="C3" s="39" t="s">
        <v>62</v>
      </c>
      <c r="E3" s="38" t="s">
        <v>147</v>
      </c>
      <c r="F3" s="39" t="s">
        <v>0</v>
      </c>
      <c r="G3" s="39" t="s">
        <v>62</v>
      </c>
      <c r="I3" s="38" t="s">
        <v>147</v>
      </c>
      <c r="J3" s="39" t="s">
        <v>0</v>
      </c>
      <c r="K3" s="39" t="s">
        <v>62</v>
      </c>
      <c r="M3" s="38" t="s">
        <v>147</v>
      </c>
      <c r="N3" s="39" t="s">
        <v>0</v>
      </c>
      <c r="O3" s="39" t="s">
        <v>62</v>
      </c>
    </row>
    <row r="4" spans="1:15" x14ac:dyDescent="0.45">
      <c r="A4" s="44" t="s">
        <v>149</v>
      </c>
      <c r="B4" s="6">
        <f>IF(Overview!C80*Overview!C79&gt;Overview!C92*Overview!C91,(Overview!C79&gt;0)*Overview!C80,(Overview!C91&gt;0)*Overview!C92)</f>
        <v>0</v>
      </c>
      <c r="C4" s="5"/>
      <c r="E4" s="44" t="s">
        <v>149</v>
      </c>
      <c r="F4" s="6">
        <f>IF(Overview!G80*Overview!G79&gt;Overview!G92*Overview!G91,(Overview!G79&gt;0)*Overview!G80,(Overview!G91&gt;0)*Overview!G92)</f>
        <v>1920</v>
      </c>
      <c r="G4" s="5"/>
      <c r="I4" s="44" t="s">
        <v>149</v>
      </c>
      <c r="J4" s="6">
        <f>IF(Overview!K80*Overview!K79&gt;Overview!K92*Overview!K91,(Overview!K79&gt;0)*Overview!K80,(Overview!K91&gt;0)*Overview!K92)</f>
        <v>0</v>
      </c>
      <c r="K4" s="5"/>
      <c r="M4" s="44" t="s">
        <v>149</v>
      </c>
      <c r="N4" s="6">
        <f>IF(Overview!O80*Overview!O79&gt;Overview!O92*Overview!O91,(Overview!O79&gt;0)*Overview!O80,(Overview!O91&gt;0)*Overview!O92)</f>
        <v>0</v>
      </c>
      <c r="O4" s="5"/>
    </row>
    <row r="5" spans="1:15" x14ac:dyDescent="0.45">
      <c r="A5" s="44" t="s">
        <v>150</v>
      </c>
      <c r="B5" s="6">
        <f>IF(Overview!C81*Overview!C79&gt;Overview!C93*Overview!C91,(Overview!C79&gt;0)*Overview!C81,(Overview!C91&gt;0)*Overview!C93)</f>
        <v>0</v>
      </c>
      <c r="C5" s="5"/>
      <c r="E5" s="44" t="s">
        <v>150</v>
      </c>
      <c r="F5" s="6">
        <f>IF(Overview!G81*Overview!G79&gt;Overview!G93*Overview!G91,Overview!G81,Overview!G93)</f>
        <v>1080</v>
      </c>
      <c r="G5" s="5"/>
      <c r="I5" s="44" t="s">
        <v>150</v>
      </c>
      <c r="J5" s="6">
        <f>IF(Overview!K81*Overview!K79&gt;Overview!K93*Overview!K91,(Overview!K79&gt;0)*Overview!K81,(Overview!K91&gt;0)*Overview!K93)</f>
        <v>0</v>
      </c>
      <c r="K5" s="5"/>
      <c r="M5" s="44" t="s">
        <v>150</v>
      </c>
      <c r="N5" s="6">
        <f>IF(Overview!O81*Overview!O79&gt;Overview!O93*Overview!O91,(Overview!O79&gt;0)*Overview!O81,(Overview!O91&gt;0)*Overview!O93)</f>
        <v>0</v>
      </c>
      <c r="O5" s="5"/>
    </row>
    <row r="6" spans="1:15" x14ac:dyDescent="0.45">
      <c r="A6" s="44" t="s">
        <v>24</v>
      </c>
      <c r="B6" s="6">
        <f>IF(B5&lt;=1088,16,32)</f>
        <v>16</v>
      </c>
      <c r="C6" s="5"/>
      <c r="E6" s="44" t="s">
        <v>24</v>
      </c>
      <c r="F6" s="6">
        <f>IF(F5&lt;=1088,16,32)</f>
        <v>16</v>
      </c>
      <c r="G6" s="5"/>
      <c r="I6" s="44" t="s">
        <v>24</v>
      </c>
      <c r="J6" s="6">
        <f>IF(J5&lt;=1088,16,32)</f>
        <v>16</v>
      </c>
      <c r="K6" s="5"/>
      <c r="M6" s="44" t="s">
        <v>24</v>
      </c>
      <c r="N6" s="6">
        <f>IF(N5&lt;=1088,16,32)</f>
        <v>16</v>
      </c>
      <c r="O6" s="5"/>
    </row>
    <row r="7" spans="1:15" x14ac:dyDescent="0.45">
      <c r="A7" s="77" t="s">
        <v>301</v>
      </c>
      <c r="B7" s="6">
        <f>CEILING((B4/B6)*(B5/B6)*256/8/1024,4)</f>
        <v>0</v>
      </c>
      <c r="C7" s="5"/>
      <c r="E7" s="77" t="s">
        <v>25</v>
      </c>
      <c r="F7" s="6">
        <f>CEILING((F4/F6)*(F5/F6)*256/8/1024,4)</f>
        <v>256</v>
      </c>
      <c r="G7" s="5"/>
      <c r="I7" s="77" t="s">
        <v>25</v>
      </c>
      <c r="J7" s="6">
        <f>CEILING((J4/J6)*(J5/J6)*256/8/1024,4)</f>
        <v>0</v>
      </c>
      <c r="K7" s="5"/>
      <c r="M7" s="77" t="s">
        <v>25</v>
      </c>
      <c r="N7" s="6">
        <f>CEILING((N4/N6)*(N5/N6)*256/8/1024,4)</f>
        <v>0</v>
      </c>
      <c r="O7" s="5"/>
    </row>
    <row r="8" spans="1:15" x14ac:dyDescent="0.45">
      <c r="A8" s="77" t="s">
        <v>300</v>
      </c>
      <c r="B8" s="6">
        <f>CEILING((256*(B5/B6)*8/8/1024)*2,4)</f>
        <v>0</v>
      </c>
      <c r="C8" s="5"/>
      <c r="E8" s="77" t="s">
        <v>26</v>
      </c>
      <c r="F8" s="6">
        <f>CEILING((256*(F5/F6)*8/8/1024)*2,4)</f>
        <v>36</v>
      </c>
      <c r="G8" s="5"/>
      <c r="I8" s="77" t="s">
        <v>26</v>
      </c>
      <c r="J8" s="6">
        <f>CEILING((256*(J5/J6)*8/8/1024)*2,4)</f>
        <v>0</v>
      </c>
      <c r="K8" s="5"/>
      <c r="M8" s="77" t="s">
        <v>26</v>
      </c>
      <c r="N8" s="6">
        <f>CEILING((256*(N5/N6)*8/8/1024)*2,4)</f>
        <v>0</v>
      </c>
      <c r="O8" s="5"/>
    </row>
    <row r="9" spans="1:15" x14ac:dyDescent="0.45">
      <c r="A9" s="68" t="s">
        <v>148</v>
      </c>
      <c r="B9" s="6">
        <f>CEILING(B7+B8+1,4)*(B4&gt;0)</f>
        <v>0</v>
      </c>
      <c r="C9" s="5" t="s">
        <v>151</v>
      </c>
      <c r="E9" s="70" t="s">
        <v>148</v>
      </c>
      <c r="F9" s="6">
        <f>CEILING(F7+F8+1,4)*(F4&gt;0)</f>
        <v>296</v>
      </c>
      <c r="G9" s="5" t="s">
        <v>151</v>
      </c>
      <c r="I9" s="70" t="s">
        <v>148</v>
      </c>
      <c r="J9" s="6">
        <f>CEILING(J7+J8+1,4)*(J4&gt;0)</f>
        <v>0</v>
      </c>
      <c r="K9" s="5" t="s">
        <v>151</v>
      </c>
      <c r="M9" s="70" t="s">
        <v>148</v>
      </c>
      <c r="N9" s="6">
        <f>CEILING(N7+N8+1,4)*(N4&gt;0)</f>
        <v>0</v>
      </c>
      <c r="O9" s="5" t="s">
        <v>151</v>
      </c>
    </row>
    <row r="10" spans="1:15" x14ac:dyDescent="0.45">
      <c r="A10" s="70" t="s">
        <v>167</v>
      </c>
      <c r="B10" s="6">
        <f>IF(Overview!C3="NVR",0,Overview!C79+Overview!C91+F10+J10+N10)*(B4&gt;0)</f>
        <v>0</v>
      </c>
      <c r="C10" s="5"/>
      <c r="E10" s="70" t="s">
        <v>167</v>
      </c>
      <c r="F10" s="6">
        <f>IF(Overview!G3="NVR",0,Overview!G79+Overview!G91+J10+N10+R10)*(F4&gt;0)</f>
        <v>4</v>
      </c>
      <c r="G10" s="5"/>
      <c r="I10" s="70" t="s">
        <v>167</v>
      </c>
      <c r="J10" s="6">
        <f>IF(Overview!$C$2="636+", Overview!K79+Overview!K91,0)*(J4&gt;0)</f>
        <v>0</v>
      </c>
      <c r="K10" s="5"/>
      <c r="M10" s="70" t="s">
        <v>167</v>
      </c>
      <c r="N10" s="6">
        <f>IF(Overview!$C$2="636+", Overview!O79+Overview!O91,0)*(N4&gt;0)</f>
        <v>0</v>
      </c>
      <c r="O10" s="5"/>
    </row>
    <row r="13" spans="1:15" x14ac:dyDescent="0.45">
      <c r="A13" s="195" t="s">
        <v>188</v>
      </c>
      <c r="B13" s="195"/>
      <c r="C13" s="195"/>
      <c r="D13" s="195"/>
      <c r="E13" s="195"/>
      <c r="F13" s="195"/>
      <c r="G13" s="195"/>
      <c r="H13" s="195"/>
    </row>
    <row r="14" spans="1:15" x14ac:dyDescent="0.45">
      <c r="A14" s="195"/>
      <c r="B14" s="195"/>
      <c r="C14" s="195"/>
      <c r="D14" s="195"/>
      <c r="E14" s="195"/>
      <c r="F14" s="195"/>
      <c r="G14" s="195"/>
      <c r="H14" s="195"/>
    </row>
    <row r="15" spans="1:15" x14ac:dyDescent="0.45">
      <c r="A15" s="195"/>
      <c r="B15" s="195"/>
      <c r="C15" s="195"/>
      <c r="D15" s="195"/>
      <c r="E15" s="195"/>
      <c r="F15" s="195"/>
      <c r="G15" s="195"/>
      <c r="H15" s="195"/>
    </row>
    <row r="16" spans="1:15" x14ac:dyDescent="0.45">
      <c r="A16" s="195"/>
      <c r="B16" s="195"/>
      <c r="C16" s="195"/>
      <c r="D16" s="195"/>
      <c r="E16" s="195"/>
      <c r="F16" s="195"/>
      <c r="G16" s="195"/>
      <c r="H16" s="195"/>
    </row>
    <row r="17" spans="1:8" x14ac:dyDescent="0.45">
      <c r="A17" s="195"/>
      <c r="B17" s="195"/>
      <c r="C17" s="195"/>
      <c r="D17" s="195"/>
      <c r="E17" s="195"/>
      <c r="F17" s="195"/>
      <c r="G17" s="195"/>
      <c r="H17" s="195"/>
    </row>
    <row r="18" spans="1:8" x14ac:dyDescent="0.45">
      <c r="A18" s="195"/>
      <c r="B18" s="195"/>
      <c r="C18" s="195"/>
      <c r="D18" s="195"/>
      <c r="E18" s="195"/>
      <c r="F18" s="195"/>
      <c r="G18" s="195"/>
      <c r="H18" s="195"/>
    </row>
    <row r="19" spans="1:8" x14ac:dyDescent="0.45">
      <c r="A19" s="195"/>
      <c r="B19" s="195"/>
      <c r="C19" s="195"/>
      <c r="D19" s="195"/>
      <c r="E19" s="195"/>
      <c r="F19" s="195"/>
      <c r="G19" s="195"/>
      <c r="H19" s="195"/>
    </row>
    <row r="20" spans="1:8" x14ac:dyDescent="0.45">
      <c r="A20" s="195"/>
      <c r="B20" s="195"/>
      <c r="C20" s="195"/>
      <c r="D20" s="195"/>
      <c r="E20" s="195"/>
      <c r="F20" s="195"/>
      <c r="G20" s="195"/>
      <c r="H20" s="195"/>
    </row>
    <row r="21" spans="1:8" x14ac:dyDescent="0.45">
      <c r="A21" s="195"/>
      <c r="B21" s="195"/>
      <c r="C21" s="195"/>
      <c r="D21" s="195"/>
      <c r="E21" s="195"/>
      <c r="F21" s="195"/>
      <c r="G21" s="195"/>
      <c r="H21" s="195"/>
    </row>
    <row r="22" spans="1:8" x14ac:dyDescent="0.45">
      <c r="A22" s="195"/>
      <c r="B22" s="195"/>
      <c r="C22" s="195"/>
      <c r="D22" s="195"/>
      <c r="E22" s="195"/>
      <c r="F22" s="195"/>
      <c r="G22" s="195"/>
      <c r="H22" s="195"/>
    </row>
    <row r="23" spans="1:8" x14ac:dyDescent="0.45">
      <c r="A23" s="195"/>
      <c r="B23" s="195"/>
      <c r="C23" s="195"/>
      <c r="D23" s="195"/>
      <c r="E23" s="195"/>
      <c r="F23" s="195"/>
      <c r="G23" s="195"/>
      <c r="H23" s="195"/>
    </row>
    <row r="24" spans="1:8" x14ac:dyDescent="0.45">
      <c r="A24" s="195"/>
      <c r="B24" s="195"/>
      <c r="C24" s="195"/>
      <c r="D24" s="195"/>
      <c r="E24" s="195"/>
      <c r="F24" s="195"/>
      <c r="G24" s="195"/>
      <c r="H24" s="195"/>
    </row>
    <row r="25" spans="1:8" x14ac:dyDescent="0.45">
      <c r="A25" s="195"/>
      <c r="B25" s="195"/>
      <c r="C25" s="195"/>
      <c r="D25" s="195"/>
      <c r="E25" s="195"/>
      <c r="F25" s="195"/>
      <c r="G25" s="195"/>
      <c r="H25" s="195"/>
    </row>
    <row r="26" spans="1:8" x14ac:dyDescent="0.45">
      <c r="A26" s="195"/>
      <c r="B26" s="195"/>
      <c r="C26" s="195"/>
      <c r="D26" s="195"/>
      <c r="E26" s="195"/>
      <c r="F26" s="195"/>
      <c r="G26" s="195"/>
      <c r="H26" s="195"/>
    </row>
    <row r="27" spans="1:8" x14ac:dyDescent="0.45">
      <c r="A27" s="195"/>
      <c r="B27" s="195"/>
      <c r="C27" s="195"/>
      <c r="D27" s="195"/>
      <c r="E27" s="195"/>
      <c r="F27" s="195"/>
      <c r="G27" s="195"/>
      <c r="H27" s="195"/>
    </row>
  </sheetData>
  <sheetProtection selectLockedCells="1" selectUnlockedCells="1"/>
  <mergeCells count="5">
    <mergeCell ref="A1:C1"/>
    <mergeCell ref="A13:H27"/>
    <mergeCell ref="E1:G1"/>
    <mergeCell ref="I1:K1"/>
    <mergeCell ref="M1:O1"/>
  </mergeCells>
  <phoneticPr fontId="2" type="noConversion"/>
  <pageMargins left="0.7" right="0.7" top="0.75" bottom="0.75" header="0.3" footer="0.3"/>
  <legacyDrawing r:id="rId1"/>
  <extLst>
    <ext xmlns:x14="http://schemas.microsoft.com/office/spreadsheetml/2009/9/main" uri="{78C0D931-6437-407d-A8EE-F0AAD7539E65}">
      <x14:conditionalFormattings>
        <x14:conditionalFormatting xmlns:xm="http://schemas.microsoft.com/office/excel/2006/main">
          <x14:cfRule type="expression" priority="1" id="{376BA5E2-ADDD-4216-9FF5-CD10BEA5268C}">
            <xm:f>NOT(Overview!$C$2="636+")</xm:f>
            <x14:dxf>
              <font>
                <color theme="0"/>
              </font>
              <fill>
                <patternFill patternType="none">
                  <bgColor auto="1"/>
                </patternFill>
              </fill>
              <border>
                <left/>
                <right/>
                <top/>
                <bottom/>
                <vertical/>
                <horizontal/>
              </border>
            </x14:dxf>
          </x14:cfRule>
          <xm:sqref>I1:O10</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文件" ma:contentTypeID="0x010100AD68B542C2A9734CAF6CCD84DA702726" ma:contentTypeVersion="0" ma:contentTypeDescription="建立新的文件。" ma:contentTypeScope="" ma:versionID="16628d792139ac16a0a59607765a4732">
  <xsd:schema xmlns:xsd="http://www.w3.org/2001/XMLSchema" xmlns:xs="http://www.w3.org/2001/XMLSchema" xmlns:p="http://schemas.microsoft.com/office/2006/metadata/properties" targetNamespace="http://schemas.microsoft.com/office/2006/metadata/properties" ma:root="true" ma:fieldsID="59ca1165369cbf929f3384faf68dff5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內容類型"/>
        <xsd:element ref="dc:title" minOccurs="0" maxOccurs="1" ma:index="4" ma:displayName="標題"/>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D944A0A-5384-447B-8D13-09729496DAF5}">
  <ds:schemaRef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7997E9FB-F887-4B39-B280-E69953F1BFF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575FCE12-796A-488F-81D7-9E4B527DF39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10</vt:i4>
      </vt:variant>
      <vt:variant>
        <vt:lpstr>具名範圍</vt:lpstr>
      </vt:variant>
      <vt:variant>
        <vt:i4>1</vt:i4>
      </vt:variant>
    </vt:vector>
  </HeadingPairs>
  <TitlesOfParts>
    <vt:vector size="11" baseType="lpstr">
      <vt:lpstr>History</vt:lpstr>
      <vt:lpstr>Overview</vt:lpstr>
      <vt:lpstr>Pool Memory</vt:lpstr>
      <vt:lpstr>Video Flow</vt:lpstr>
      <vt:lpstr>Display</vt:lpstr>
      <vt:lpstr>Encode</vt:lpstr>
      <vt:lpstr>Decode</vt:lpstr>
      <vt:lpstr>Audio</vt:lpstr>
      <vt:lpstr>DispEncode</vt:lpstr>
      <vt:lpstr>MotionDetection</vt:lpstr>
      <vt:lpstr>aa</vt:lpstr>
    </vt:vector>
  </TitlesOfParts>
  <Company>novatek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Ivan_Wang@novatek.com.tw</dc:creator>
  <cp:lastModifiedBy>Foster Huang(黃長福)</cp:lastModifiedBy>
  <cp:lastPrinted>2015-06-23T13:06:42Z</cp:lastPrinted>
  <dcterms:created xsi:type="dcterms:W3CDTF">2013-05-30T12:41:03Z</dcterms:created>
  <dcterms:modified xsi:type="dcterms:W3CDTF">2022-09-22T03:22:23Z</dcterms:modified>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0x010100AD68B542C2A9734CAF6CCD84DA702726</vt:lpwstr>
  </property>
</Properties>
</file>