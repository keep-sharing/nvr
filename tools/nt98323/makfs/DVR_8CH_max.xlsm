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070"/>
  </bookViews>
  <sheets>
    <sheet name="Overview" sheetId="5" r:id="rId1"/>
    <sheet name="Pool Memory" sheetId="30" r:id="rId2"/>
    <sheet name="Display" sheetId="26" r:id="rId3"/>
    <sheet name="Encode" sheetId="24" state="hidden" r:id="rId4"/>
    <sheet name="Decode" sheetId="25" r:id="rId5"/>
    <sheet name="Audio" sheetId="27" state="hidden" r:id="rId6"/>
    <sheet name="DispEncode" sheetId="28" state="hidden" r:id="rId7"/>
    <sheet name="MotionDetection" sheetId="29" state="hidden" r:id="rId8"/>
    <sheet name="Video Flow" sheetId="23" r:id="rId9"/>
  </sheets>
  <definedNames>
    <definedName name="aa">Overview!$E$11:$E$14</definedName>
  </definedNames>
  <calcPr calcId="144525"/>
</workbook>
</file>

<file path=xl/comments1.xml><?xml version="1.0" encoding="utf-8"?>
<comments xmlns="http://schemas.openxmlformats.org/spreadsheetml/2006/main">
  <authors>
    <author>作者</author>
    <author>Ivan Wang(王仁毅)</author>
  </authors>
  <commentList>
    <comment ref="C9" authorId="0">
      <text>
        <r>
          <rPr>
            <b/>
            <sz val="9"/>
            <rFont val="Tahoma"/>
            <charset val="134"/>
          </rPr>
          <t xml:space="preserve">0:no VIN capture support
1:liveview capture (enable VIN/capture)
2:liveview capture buffer shared with decode output buffers (to reduce memory usage)
</t>
        </r>
      </text>
    </comment>
    <comment ref="B10" authorId="1">
      <text>
        <r>
          <rPr>
            <b/>
            <sz val="9"/>
            <rFont val="Tahoma"/>
            <charset val="134"/>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0">
      <text>
        <r>
          <rPr>
            <b/>
            <sz val="9"/>
            <rFont val="Tahoma"/>
            <charset val="134"/>
          </rPr>
          <t>-Pixel  Bytes-
1.5: YUV420 (HD_VIDEO_PXLFMT_YUV420)
2: YUV422 (HD_VIDEO_PXLFMT_YUV422_ONE)
1.125: YUV420 SCE compression (need 32 align)
              (HD_VIDEO_PXLFMT_YUV420_NVX3)</t>
        </r>
      </text>
    </comment>
    <comment ref="B11" authorId="1">
      <text>
        <r>
          <rPr>
            <b/>
            <sz val="9"/>
            <rFont val="Tahoma"/>
            <charset val="134"/>
          </rPr>
          <t>HD_VIDEOOUT_DEVNVR_CONFIG *devnvr_cfg;
devnvr_cfg-&gt;plane[0].max_w = 1920;
devnvr_cfg-&gt;plane[0].max_h = 1080;
hd_videoout_set(lcd_ctrl_path, HD_VIDEOOUT_PARAM_DEV_CONFIG, devnvr_cfg);</t>
        </r>
      </text>
    </comment>
    <comment ref="B12" authorId="1">
      <text>
        <r>
          <rPr>
            <b/>
            <sz val="9"/>
            <rFont val="Tahoma"/>
            <charset val="134"/>
          </rPr>
          <t>HD_VIDEOOUT_DEVNVR_CONFIG *devnvr_cfg;
devnvr_cfg-&gt;plane[0].max_w = 1920;
devnvr_cfg-&gt;plane[0].max_h = 1080;
hd_videoout_set(lcd_ctrl_path, HD_VIDEOOUT_PARAM_DEV_CONFIG, devnvr_cfg);</t>
        </r>
      </text>
    </comment>
    <comment ref="B13" authorId="1">
      <text>
        <r>
          <rPr>
            <b/>
            <sz val="9"/>
            <rFont val="Tahoma"/>
            <charset val="134"/>
          </rPr>
          <t>HD_VIDEOPROC_DEV_CONFIG vpe_config;
vpe_config.data_pool[0].counts = HD_VIDEOPROC_SET_COUNT(4, 0);
hd_videoproc_set(videoproc_path, HD_VIDEOPROC_PARAM_DEV_CONFIG, &amp;vpe_config);</t>
        </r>
      </text>
    </comment>
    <comment ref="C13" authorId="0">
      <text>
        <r>
          <rPr>
            <b/>
            <sz val="9"/>
            <rFont val="Tahoma"/>
            <charset val="134"/>
          </rPr>
          <t>Display buffer counts, buffer count is 3~4</t>
        </r>
      </text>
    </comment>
    <comment ref="B14" authorId="1">
      <text>
        <r>
          <rPr>
            <b/>
            <sz val="9"/>
            <rFont val="Tahoma"/>
            <charset val="134"/>
          </rPr>
          <t>HD_FB_FMT fb_fmt;
fb_fmt.fmt = HD_VIDEO_PXLFMT_ARGB1555_RLE; //HD_VIDEO_PXLFMT_ARGB1555
hd_videoout_set(*ctrl_path, HD_VIDEOOUT_PARAM_FB_FMT, &amp;fb_fmt);</t>
        </r>
      </text>
    </comment>
    <comment ref="C14" authorId="0">
      <text>
        <r>
          <rPr>
            <b/>
            <sz val="9"/>
            <rFont val="Tahoma"/>
            <charset val="134"/>
          </rPr>
          <t>2: ARGB1555 (HD_VIDEO_PXLFMT_ARGB1555)
4: ARGB8888 (HD_VIDEO_PXLFMT_ARGB8888)</t>
        </r>
      </text>
    </comment>
    <comment ref="B15" authorId="1">
      <text>
        <r>
          <rPr>
            <b/>
            <sz val="9"/>
            <rFont val="Tahoma"/>
            <charset val="134"/>
          </rPr>
          <t>HD_VIDEOOUT_DEVNVR_CONFIG *devnvr_cfg;
devnvr_cfg-&gt;plane[1].max_w = 1920;
devnvr_cfg-&gt;plane[1].max_h = 1080;
hd_videoout_set(lcd_ctrl_path, HD_VIDEOOUT_PARAM_DEV_CONFIG, devnvr_cfg);</t>
        </r>
      </text>
    </comment>
    <comment ref="B16" authorId="1">
      <text>
        <r>
          <rPr>
            <b/>
            <sz val="9"/>
            <rFont val="Tahoma"/>
            <charset val="134"/>
          </rPr>
          <t>HD_VIDEOOUT_DEVNVR_CONFIG *devnvr_cfg;
devnvr_cfg-&gt;plane[1].max_w = 1920;
devnvr_cfg-&gt;plane[1].max_h = 1080;
hd_videoout_set(lcd_ctrl_path, HD_VIDEOOUT_PARAM_DEV_CONFIG, devnvr_cfg);</t>
        </r>
      </text>
    </comment>
    <comment ref="B17" authorId="1">
      <text>
        <r>
          <rPr>
            <b/>
            <sz val="9"/>
            <rFont val="Tahoma"/>
            <charset val="134"/>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1">
      <text>
        <r>
          <rPr>
            <b/>
            <sz val="9"/>
            <rFont val="Tahoma"/>
            <charset val="134"/>
          </rPr>
          <t>HD_FB_ENABLE fb_cfg;
fb_cfg.fb_id = 2; //fb2 id is 2
fb_cfg.enable = 1;
hd_videoout_set(lcd_ctrl_path, HD_VIDEOOUT_PARAM_FB_ENABLE, &amp;fb_cfg);</t>
        </r>
      </text>
    </comment>
    <comment ref="B19" authorId="1">
      <text>
        <r>
          <rPr>
            <b/>
            <sz val="9"/>
            <rFont val="Tahoma"/>
            <charset val="134"/>
          </rPr>
          <t>//Liveview videocapture
HD_VIDEOCAP_PATH_CONFIG cap_config;
cap_config.data_pool[0].counts = HD_VIDEOCAP_SET_COUNT(5, 0);
hd_videocap_set(videocap_path, HD_VIDEOCAP_PARAM_PATH_CONFIG, &amp;cap_config);</t>
        </r>
      </text>
    </comment>
    <comment ref="C19" authorId="0">
      <text>
        <r>
          <rPr>
            <b/>
            <sz val="9"/>
            <rFont val="Tahoma"/>
            <charset val="134"/>
          </rPr>
          <t>Liveview capture buffer counts 4~5</t>
        </r>
      </text>
    </comment>
    <comment ref="B20" authorId="1">
      <text>
        <r>
          <rPr>
            <b/>
            <sz val="9"/>
            <rFont val="Tahoma"/>
            <charset val="134"/>
          </rPr>
          <t>//Liveview videocapture
HD_VIDEOCAP_OUT cap_out;
cap_out.pxlfmt = HD_VIDEO_PXLFMT_YUV420_NVX3; //YUV420 SCE
hd_videocap_set(videocap_path, HD_VIDEOCAP_PARAM_OUT, &amp;cap_out);</t>
        </r>
      </text>
    </comment>
    <comment ref="C20" authorId="0">
      <text>
        <r>
          <rPr>
            <b/>
            <sz val="9"/>
            <rFont val="Tahoma"/>
            <charset val="134"/>
          </rPr>
          <t>-Pixel  Bytes-
1.5: YUV420 (HD_VIDEO_PXLFMT_YUV420)
2: YUV422 (HD_VIDEO_PXLFMT_YUV422_ONE)
1.125: YUV420 SCE compression (need 32 align)
              (HD_VIDEO_PXLFMT_YUV420_NVX3)</t>
        </r>
      </text>
    </comment>
    <comment ref="B21" authorId="1">
      <text>
        <r>
          <rPr>
            <b/>
            <sz val="9"/>
            <rFont val="Tahoma"/>
            <charset val="134"/>
          </rPr>
          <t>HD_VIDEOPROC_CTRL ctrl;
ctrl.func = HD_VIDEOPROC_FUNC_DI;
hd_videoproc_set(videproc_path, HD_VIDEOPROC_PARAM_CTRL, &amp;ctrl);</t>
        </r>
      </text>
    </comment>
    <comment ref="B22" authorId="1">
      <text>
        <r>
          <rPr>
            <b/>
            <sz val="9"/>
            <rFont val="Tahoma"/>
            <charset val="134"/>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4" authorId="0">
      <text>
        <r>
          <rPr>
            <b/>
            <sz val="9"/>
            <rFont val="Tahoma"/>
            <charset val="134"/>
          </rPr>
          <t xml:space="preserve">0:no VIN capture support
1:liveview (enable VIN/capture)
</t>
        </r>
      </text>
    </comment>
    <comment ref="B25" authorId="1">
      <text>
        <r>
          <rPr>
            <b/>
            <sz val="9"/>
            <rFont val="Tahoma"/>
            <charset val="134"/>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0">
      <text>
        <r>
          <rPr>
            <b/>
            <sz val="9"/>
            <rFont val="Tahoma"/>
            <charset val="134"/>
          </rPr>
          <t xml:space="preserve">-Pixel  Bytes-
1.5: YUV420 (HD_VIDEO_PXLFMT_YUV420)
2: YUV422 (HD_VIDEO_PXLFMT_YUV422_ONE)
1.125: YUV420 SCE compression (need 32 align)
              (HD_VIDEO_PXLFMT_YUV420_NVX3)
</t>
        </r>
      </text>
    </comment>
    <comment ref="B26" authorId="1">
      <text>
        <r>
          <rPr>
            <b/>
            <sz val="9"/>
            <rFont val="Tahoma"/>
            <charset val="134"/>
          </rPr>
          <t>HD_VIDEOOUT_DEVNVR_CONFIG *devnvr_cfg;
devnvr_cfg-&gt;plane[0].max_w = 1920;
devnvr_cfg-&gt;plane[0].max_h = 1080;
hd_videoout_set(lcd_ctrl_path, HD_VIDEOOUT_PARAM_DEV_CONFIG, devnvr_cfg);</t>
        </r>
      </text>
    </comment>
    <comment ref="B27" authorId="1">
      <text>
        <r>
          <rPr>
            <b/>
            <sz val="9"/>
            <rFont val="Tahoma"/>
            <charset val="134"/>
          </rPr>
          <t>HD_VIDEOOUT_DEVNVR_CONFIG *devnvr_cfg;
devnvr_cfg-&gt;plane[0].max_w = 1920;
devnvr_cfg-&gt;plane[0].max_h = 1080;
hd_videoout_set(lcd_ctrl_path, HD_VIDEOOUT_PARAM_DEV_CONFIG, devnvr_cfg);</t>
        </r>
      </text>
    </comment>
    <comment ref="B28" authorId="1">
      <text>
        <r>
          <rPr>
            <b/>
            <sz val="9"/>
            <rFont val="Tahoma"/>
            <charset val="134"/>
          </rPr>
          <t>HD_VIDEOPROC_DEV_CONFIG vpe_config;
vpe_config.data_pool[0].counts = HD_VIDEOPROC_SET_COUNT(3, 0);
hd_videoproc_set(videoproc_path, HD_VIDEOPROC_PARAM_DEV_CONFIG, &amp;vpe_config);</t>
        </r>
      </text>
    </comment>
    <comment ref="C28" authorId="0">
      <text>
        <r>
          <rPr>
            <b/>
            <sz val="9"/>
            <rFont val="Tahoma"/>
            <charset val="134"/>
          </rPr>
          <t>Display buffer counts, minimal number is 3</t>
        </r>
      </text>
    </comment>
    <comment ref="B29" authorId="1">
      <text>
        <r>
          <rPr>
            <b/>
            <sz val="9"/>
            <rFont val="Tahoma"/>
            <charset val="134"/>
          </rPr>
          <t>HD_FB_FMT fb_fmt;
fb_fmt.fmt = HD_VIDEO_PXLFMT_ARGB1555_RLE; //HD_VIDEO_PXLFMT_ARGB1555
hd_videoout_set(*ctrl_path, HD_VIDEOOUT_PARAM_FB_FMT, &amp;fb_fmt);</t>
        </r>
      </text>
    </comment>
    <comment ref="C29" authorId="0">
      <text>
        <r>
          <rPr>
            <b/>
            <sz val="9"/>
            <rFont val="Tahoma"/>
            <charset val="134"/>
          </rPr>
          <t>2: ARGB1555 (HD_VIDEO_PXLFMT_ARGB1555)
4: ARGB8888 (HD_VIDEO_PXLFMT_ARGB8888)</t>
        </r>
      </text>
    </comment>
    <comment ref="B30" authorId="1">
      <text>
        <r>
          <rPr>
            <b/>
            <sz val="9"/>
            <rFont val="Tahoma"/>
            <charset val="134"/>
          </rPr>
          <t>HD_VIDEOOUT_DEVNVR_CONFIG *devnvr_cfg;
devnvr_cfg-&gt;plane[1].max_w = 1920;
devnvr_cfg-&gt;plane[1].max_h = 1080;
hd_videoout_set(lcd_ctrl_path, HD_VIDEOOUT_PARAM_DEV_CONFIG, devnvr_cfg);</t>
        </r>
      </text>
    </comment>
    <comment ref="B31" authorId="1">
      <text>
        <r>
          <rPr>
            <b/>
            <sz val="9"/>
            <rFont val="Tahoma"/>
            <charset val="134"/>
          </rPr>
          <t>HD_VIDEOOUT_DEVNVR_CONFIG *devnvr_cfg;
devnvr_cfg-&gt;plane[1].max_w = 1920;
devnvr_cfg-&gt;plane[1].max_h = 1080;
hd_videoout_set(lcd_ctrl_path, HD_VIDEOOUT_PARAM_DEV_CONFIG, devnvr_cfg);</t>
        </r>
      </text>
    </comment>
    <comment ref="B32" authorId="1">
      <text>
        <r>
          <rPr>
            <b/>
            <sz val="9"/>
            <rFont val="Tahoma"/>
            <charset val="134"/>
          </rPr>
          <t>//IC Spec may not support GUI compression
HD_FB_FMT fb_fmt;
fb_fmt.fmt = HD_VIDEO_PXLFMT_ARGB1555; //no support RLE
hd_videoout_set(*ctrl_path, HD_VIDEOOUT_PARAM_FB_FMT, &amp;fb_fmt);</t>
        </r>
      </text>
    </comment>
    <comment ref="B33" authorId="1">
      <text>
        <r>
          <rPr>
            <b/>
            <sz val="9"/>
            <rFont val="Tahoma"/>
            <charset val="134"/>
          </rPr>
          <t>IC spec may not support fb2</t>
        </r>
      </text>
    </comment>
    <comment ref="B34" authorId="1">
      <text>
        <r>
          <rPr>
            <b/>
            <sz val="9"/>
            <rFont val="Tahoma"/>
            <charset val="134"/>
          </rPr>
          <t>//Liveview videocapture
HD_VIDEOCAP_PATH_CONFIG cap_config;
cap_config.data_pool[0].counts = HD_VIDEOCAP_SET_COUNT(4, 0);
hd_videocap_set(videocap_path, HD_VIDEOCAP_PARAM_PATH_CONFIG, &amp;cap_config);</t>
        </r>
      </text>
    </comment>
    <comment ref="C34" authorId="0">
      <text>
        <r>
          <rPr>
            <b/>
            <sz val="9"/>
            <rFont val="Tahoma"/>
            <charset val="134"/>
          </rPr>
          <t>Liveview capture buffer counts, minimal is 4 for realtime display</t>
        </r>
      </text>
    </comment>
    <comment ref="B35" authorId="1">
      <text>
        <r>
          <rPr>
            <b/>
            <sz val="9"/>
            <rFont val="Tahoma"/>
            <charset val="134"/>
          </rPr>
          <t>//Liveview videocapture
HD_VIDEOCAP_OUT cap_out;
cap_out.pxlfmt = HD_VIDEO_PXLFMT_YUV420_NVX3; //YUV420 SCE
hd_videocap_set(videocap_path, HD_VIDEOCAP_PARAM_OUT, &amp;cap_out);</t>
        </r>
      </text>
    </comment>
    <comment ref="C35" authorId="0">
      <text>
        <r>
          <rPr>
            <b/>
            <sz val="9"/>
            <rFont val="Tahoma"/>
            <charset val="134"/>
          </rPr>
          <t>-Pixel  Bytes-
1.5: YUV420 (HD_VIDEO_PXLFMT_YUV420)
2: YUV422 (HD_VIDEO_PXLFMT_YUV422_ONE)
1.125: YUV420 SCE compression (need 32 align)
              (HD_VIDEO_PXLFMT_YUV420_NVX3)</t>
        </r>
      </text>
    </comment>
    <comment ref="B36" authorId="1">
      <text>
        <r>
          <rPr>
            <b/>
            <sz val="9"/>
            <rFont val="Tahoma"/>
            <charset val="134"/>
          </rPr>
          <t>HD_VIDEOPROC_CTRL ctrl;
ctrl.func = HD_VIDEOPROC_FUNC_DI;
hd_videoproc_set(videproc_path, HD_VIDEOPROC_PARAM_CTRL, &amp;ctrl);</t>
        </r>
      </text>
    </comment>
    <comment ref="B37" authorId="1">
      <text>
        <r>
          <rPr>
            <b/>
            <sz val="9"/>
            <rFont val="Tahoma"/>
            <charset val="134"/>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9" authorId="0">
      <text>
        <r>
          <rPr>
            <b/>
            <sz val="9"/>
            <rFont val="Tahoma"/>
            <charset val="134"/>
          </rPr>
          <t>0:no VIN capture support
1:liveview (enable VIN/capture)</t>
        </r>
      </text>
    </comment>
    <comment ref="B40" authorId="1">
      <text>
        <r>
          <rPr>
            <b/>
            <sz val="9"/>
            <rFont val="Tahoma"/>
            <charset val="134"/>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0">
      <text>
        <r>
          <rPr>
            <b/>
            <sz val="9"/>
            <rFont val="Tahoma"/>
            <charset val="134"/>
          </rPr>
          <t>-Pixel  Bytes-
1.5: YUV420 (HD_VIDEO_PXLFMT_YUV420)
2: YUV422 (HD_VIDEO_PXLFMT_YUV422_ONE)
1.125: YUV420 SCE compression (need 32 align)
              (HD_VIDEO_PXLFMT_YUV420_NVX3)</t>
        </r>
      </text>
    </comment>
    <comment ref="B41" authorId="1">
      <text>
        <r>
          <rPr>
            <b/>
            <sz val="9"/>
            <rFont val="Tahoma"/>
            <charset val="134"/>
          </rPr>
          <t>HD_VIDEOOUT_DEVNVR_CONFIG *devnvr_cfg;
devnvr_cfg-&gt;plane[0].max_w = 1920;
devnvr_cfg-&gt;plane[0].max_h = 1080;
hd_videoout_set(lcd_ctrl_path, HD_VIDEOOUT_PARAM_DEV_CONFIG, devnvr_cfg);</t>
        </r>
      </text>
    </comment>
    <comment ref="B42" authorId="1">
      <text>
        <r>
          <rPr>
            <b/>
            <sz val="9"/>
            <rFont val="Tahoma"/>
            <charset val="134"/>
          </rPr>
          <t>HD_VIDEOOUT_DEVNVR_CONFIG *devnvr_cfg;
devnvr_cfg-&gt;plane[0].max_w = 1920;
devnvr_cfg-&gt;plane[0].max_h = 1080;
hd_videoout_set(lcd_ctrl_path, HD_VIDEOOUT_PARAM_DEV_CONFIG, devnvr_cfg);</t>
        </r>
      </text>
    </comment>
    <comment ref="B43" authorId="1">
      <text>
        <r>
          <rPr>
            <b/>
            <sz val="9"/>
            <rFont val="Tahoma"/>
            <charset val="134"/>
          </rPr>
          <t>HD_VIDEOPROC_DEV_CONFIG vpe_config;
vpe_config.data_pool[0].counts = HD_VIDEOPROC_SET_COUNT(3, 0);
hd_videoproc_set(videoproc_path, HD_VIDEOPROC_PARAM_DEV_CONFIG, &amp;vpe_config);</t>
        </r>
      </text>
    </comment>
    <comment ref="C43" authorId="0">
      <text>
        <r>
          <rPr>
            <b/>
            <sz val="9"/>
            <rFont val="Tahoma"/>
            <charset val="134"/>
          </rPr>
          <t>Display buffer counts, minimal number is 3</t>
        </r>
      </text>
    </comment>
    <comment ref="B44" authorId="1">
      <text>
        <r>
          <rPr>
            <b/>
            <sz val="9"/>
            <rFont val="Tahoma"/>
            <charset val="134"/>
          </rPr>
          <t>HD_FB_FMT fb_fmt;
fb_fmt.fmt = HD_VIDEO_PXLFMT_ARGB1555_RLE; //HD_VIDEO_PXLFMT_ARGB1555
hd_videoout_set(*ctrl_path, HD_VIDEOOUT_PARAM_FB_FMT, &amp;fb_fmt);</t>
        </r>
      </text>
    </comment>
    <comment ref="C44" authorId="0">
      <text>
        <r>
          <rPr>
            <b/>
            <sz val="9"/>
            <rFont val="Tahoma"/>
            <charset val="134"/>
          </rPr>
          <t>2: ARGB1555 (HD_VIDEO_PXLFMT_ARGB1555)
4: ARGB8888 (HD_VIDEO_PXLFMT_ARGB8888)</t>
        </r>
      </text>
    </comment>
    <comment ref="B45" authorId="1">
      <text>
        <r>
          <rPr>
            <b/>
            <sz val="9"/>
            <rFont val="Tahoma"/>
            <charset val="134"/>
          </rPr>
          <t>HD_VIDEOOUT_DEVNVR_CONFIG *devnvr_cfg;
devnvr_cfg-&gt;plane[1].max_w = 1920;
devnvr_cfg-&gt;plane[1].max_h = 1080;
hd_videoout_set(lcd_ctrl_path, HD_VIDEOOUT_PARAM_DEV_CONFIG, devnvr_cfg);</t>
        </r>
      </text>
    </comment>
    <comment ref="B46" authorId="1">
      <text>
        <r>
          <rPr>
            <b/>
            <sz val="9"/>
            <rFont val="Tahoma"/>
            <charset val="134"/>
          </rPr>
          <t>HD_VIDEOOUT_DEVNVR_CONFIG *devnvr_cfg;
devnvr_cfg-&gt;plane[1].max_w = 1920;
devnvr_cfg-&gt;plane[1].max_h = 1080;
hd_videoout_set(lcd_ctrl_path, HD_VIDEOOUT_PARAM_DEV_CONFIG, devnvr_cfg);</t>
        </r>
      </text>
    </comment>
    <comment ref="B47" authorId="1">
      <text>
        <r>
          <rPr>
            <b/>
            <sz val="9"/>
            <rFont val="Tahoma"/>
            <charset val="134"/>
          </rPr>
          <t>//IC Spec may not support GUI compression
HD_FB_FMT fb_fmt;
fb_fmt.fmt = HD_VIDEO_PXLFMT_ARGB1555; //no support RLE
hd_videoout_set(*ctrl_path, HD_VIDEOOUT_PARAM_FB_FMT, &amp;fb_fmt);</t>
        </r>
      </text>
    </comment>
    <comment ref="B48" authorId="1">
      <text>
        <r>
          <rPr>
            <b/>
            <sz val="9"/>
            <rFont val="Tahoma"/>
            <charset val="134"/>
          </rPr>
          <t>IC spec may not support fb2</t>
        </r>
      </text>
    </comment>
    <comment ref="B49" authorId="1">
      <text>
        <r>
          <rPr>
            <b/>
            <sz val="9"/>
            <rFont val="Tahoma"/>
            <charset val="134"/>
          </rPr>
          <t>//Liveview videocapture
HD_VIDEOCAP_PATH_CONFIG cap_config;
cap_config.data_pool[0].counts = HD_VIDEOCAP_SET_COUNT(4, 0);
hd_videocap_set(videocap_path, HD_VIDEOCAP_PARAM_PATH_CONFIG, &amp;cap_config);</t>
        </r>
      </text>
    </comment>
    <comment ref="C49" authorId="0">
      <text>
        <r>
          <rPr>
            <b/>
            <sz val="9"/>
            <rFont val="Tahoma"/>
            <charset val="134"/>
          </rPr>
          <t>Liveview capture buffer counts, minimal is 4 for realtime display</t>
        </r>
      </text>
    </comment>
    <comment ref="B50" authorId="1">
      <text>
        <r>
          <rPr>
            <b/>
            <sz val="9"/>
            <rFont val="Tahoma"/>
            <charset val="134"/>
          </rPr>
          <t>//Liveview videocapture
HD_VIDEOCAP_OUT cap_out;
cap_out.pxlfmt = HD_VIDEO_PXLFMT_YUV420_NVX3; //YUV420 SCE
hd_videocap_set(videocap_path, HD_VIDEOCAP_PARAM_OUT, &amp;cap_out);</t>
        </r>
      </text>
    </comment>
    <comment ref="C50" authorId="0">
      <text>
        <r>
          <rPr>
            <b/>
            <sz val="9"/>
            <rFont val="Tahoma"/>
            <charset val="134"/>
          </rPr>
          <t>-Pixel  Bytes-
1.5: YUV420 (HD_VIDEO_PXLFMT_YUV420)
2: YUV422 (HD_VIDEO_PXLFMT_YUV422_ONE)
1.125: YUV420 SCE compression (need 32 align)
              (HD_VIDEO_PXLFMT_YUV420_NVX3)</t>
        </r>
      </text>
    </comment>
    <comment ref="B51" authorId="1">
      <text>
        <r>
          <rPr>
            <b/>
            <sz val="9"/>
            <rFont val="Tahoma"/>
            <charset val="134"/>
          </rPr>
          <t>HD_VIDEOPROC_CTRL ctrl;
ctrl.func = HD_VIDEOPROC_FUNC_DI;
hd_videoproc_set(videproc_path, HD_VIDEOPROC_PARAM_CTRL, &amp;ctrl);</t>
        </r>
      </text>
    </comment>
    <comment ref="B52" authorId="1">
      <text>
        <r>
          <rPr>
            <b/>
            <sz val="9"/>
            <rFont val="Tahoma"/>
            <charset val="134"/>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1">
      <text>
        <r>
          <rPr>
            <b/>
            <sz val="9"/>
            <rFont val="Tahoma"/>
            <charset val="134"/>
          </rPr>
          <t>HD_VIDEODEC_PATH_CONFIG dec_config;
dec_config.max_mem.dim.w = ALIGN_CEIL(1920, 16);
dec_config.max_mem.dim.h = ALIGN_CEIL(1080, 16);
hd_videodec_set(videodec_path, HD_VIDEODEC_PARAM_PATH_CONFIG, &amp;dec_config);</t>
        </r>
      </text>
    </comment>
    <comment ref="B55" authorId="1">
      <text>
        <r>
          <rPr>
            <b/>
            <sz val="9"/>
            <rFont val="Tahoma"/>
            <charset val="134"/>
          </rPr>
          <t>HD_VIDEODEC_PATH_CONFIG dec_config;
dec_config.max_mem.dim.w = ALIGN_CEIL(1920, 16);
dec_config.max_mem.dim.h = ALIGN_CEIL(1080, 16);
hd_videodec_set(videodec_path, HD_VIDEODEC_PARAM_PATH_CONFIG, &amp;dec_config);</t>
        </r>
      </text>
    </comment>
    <comment ref="B56" authorId="1">
      <text>
        <r>
          <rPr>
            <b/>
            <sz val="9"/>
            <rFont val="Tahoma"/>
            <charset val="134"/>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0">
      <text>
        <r>
          <rPr>
            <b/>
            <sz val="9"/>
            <rFont val="Tahoma"/>
            <charset val="134"/>
          </rPr>
          <t>basic = 1
flow +1
ltr +1
svc4x +1</t>
        </r>
      </text>
    </comment>
    <comment ref="B57" authorId="1">
      <text>
        <r>
          <rPr>
            <b/>
            <sz val="9"/>
            <rFont val="Tahoma"/>
            <charset val="134"/>
          </rPr>
          <t xml:space="preserve">HD_VIDEODEC_PATH_CONFIG dec_config;
dec_config.max_mem.max_bitrate = 8192 * 1024;
hd_videodec_set(videodec_path, HD_VIDEODEC_PARAM_PATH_CONFIG, &amp;dec_config);    </t>
        </r>
      </text>
    </comment>
    <comment ref="B58" authorId="1">
      <text>
        <r>
          <rPr>
            <b/>
            <sz val="9"/>
            <rFont val="Tahoma"/>
            <charset val="134"/>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0">
      <text>
        <r>
          <rPr>
            <b/>
            <sz val="9"/>
            <rFont val="Tahoma"/>
            <charset val="134"/>
          </rPr>
          <t>According to your qp table, to decide min compression rate by min qp.</t>
        </r>
      </text>
    </comment>
    <comment ref="B59" authorId="1">
      <text>
        <r>
          <rPr>
            <b/>
            <sz val="9"/>
            <rFont val="Tahoma"/>
            <charset val="134"/>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0">
      <text>
        <r>
          <rPr>
            <b/>
            <sz val="9"/>
            <rFont val="Tahoma"/>
            <charset val="134"/>
          </rPr>
          <t>0:disable extra write
2: 1/2 x 1/2 ratio
3: 1/3 x 1/3 ratio
4: 1/4 x 1/4 ratio</t>
        </r>
      </text>
    </comment>
    <comment ref="B60" authorId="1">
      <text>
        <r>
          <rPr>
            <b/>
            <sz val="9"/>
            <rFont val="Tahoma"/>
            <charset val="134"/>
          </rPr>
          <t>HD_VIDEODEC_PATH_CONFIG dec_config;
dec_config.max_mem.bs_counts = 7;
hd_videodec_set(videodec_path, HD_VIDEODEC_PARAM_PATH_CONFIG, &amp;dec_config);</t>
        </r>
      </text>
    </comment>
    <comment ref="B61" authorId="1">
      <text>
        <r>
          <rPr>
            <b/>
            <sz val="9"/>
            <rFont val="Tahoma"/>
            <charset val="134"/>
          </rPr>
          <t>for HD_COMMON_MEM_DEC_TILE_POOL</t>
        </r>
      </text>
    </comment>
    <comment ref="B62" authorId="1">
      <text>
        <r>
          <rPr>
            <b/>
            <sz val="9"/>
            <rFont val="Tahoma"/>
            <charset val="134"/>
          </rPr>
          <t>for HD_COMMON_MEM_DEC_TILE_POOL</t>
        </r>
      </text>
    </comment>
    <comment ref="B64" authorId="1">
      <text>
        <r>
          <rPr>
            <b/>
            <sz val="9"/>
            <rFont val="Tahoma"/>
            <charset val="134"/>
          </rPr>
          <t>HD_VIDEODEC_PATH_CONFIG dec_config;
dec_config.max_mem.dim.w = ALIGN_CEIL(1920, 16);
dec_config.max_mem.dim.h = ALIGN_CEIL(1080, 16);
hd_videodec_set(videodec_path, HD_VIDEODEC_PARAM_PATH_CONFIG, &amp;dec_config);</t>
        </r>
      </text>
    </comment>
    <comment ref="B65" authorId="1">
      <text>
        <r>
          <rPr>
            <b/>
            <sz val="9"/>
            <rFont val="Tahoma"/>
            <charset val="134"/>
          </rPr>
          <t>HD_VIDEODEC_PATH_CONFIG dec_config;
dec_config.max_mem.dim.w = ALIGN_CEIL(1920, 16);
dec_config.max_mem.dim.h = ALIGN_CEIL(1080, 16);
hd_videodec_set(videodec_path, HD_VIDEODEC_PARAM_PATH_CONFIG, &amp;dec_config);</t>
        </r>
      </text>
    </comment>
    <comment ref="B66" authorId="1">
      <text>
        <r>
          <rPr>
            <b/>
            <sz val="9"/>
            <rFont val="Tahoma"/>
            <charset val="134"/>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6" authorId="0">
      <text>
        <r>
          <rPr>
            <b/>
            <sz val="9"/>
            <rFont val="Tahoma"/>
            <charset val="134"/>
          </rPr>
          <t>basic = 1
flow +1
ltr +1
svc4x +1</t>
        </r>
      </text>
    </comment>
    <comment ref="B67" authorId="1">
      <text>
        <r>
          <rPr>
            <b/>
            <sz val="9"/>
            <rFont val="Tahoma"/>
            <charset val="134"/>
          </rPr>
          <t xml:space="preserve">HD_VIDEODEC_PATH_CONFIG dec_config;
dec_config.max_mem.max_bitrate = 8192 * 1024;
hd_videodec_set(videodec_path, HD_VIDEODEC_PARAM_PATH_CONFIG, &amp;dec_config);    </t>
        </r>
      </text>
    </comment>
    <comment ref="B68" authorId="1">
      <text>
        <r>
          <rPr>
            <b/>
            <sz val="9"/>
            <rFont val="Tahoma"/>
            <charset val="134"/>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68" authorId="0">
      <text>
        <r>
          <rPr>
            <b/>
            <sz val="9"/>
            <rFont val="Tahoma"/>
            <charset val="134"/>
          </rPr>
          <t>According to your qp table, to decide min compression rate by min qp.</t>
        </r>
      </text>
    </comment>
    <comment ref="B69" authorId="1">
      <text>
        <r>
          <rPr>
            <b/>
            <sz val="9"/>
            <rFont val="Tahoma"/>
            <charset val="134"/>
          </rPr>
          <t>HD_VIDEODEC_PATH_CONFIG dec_config;
dec_config.data_pool[1].mode = HD_VIDEODEC_POOL_ENABLE;
dec_config.data_pool[1].counts = HD_VIDEODEC_SET_COUNT(3, 0);                
hd_videodec_set(videodec_path, HD_VIDEODEC_PARAM_PATH_CONFIG, &amp;dec_config);</t>
        </r>
      </text>
    </comment>
    <comment ref="C69" authorId="0">
      <text>
        <r>
          <rPr>
            <b/>
            <sz val="9"/>
            <rFont val="Tahoma"/>
            <charset val="134"/>
          </rPr>
          <t>0:disable extra write
2: 1/2 x 1/2 ratio
3: 1/3 x 1/3 ratio
4: 1/4 x 1/4 ratio</t>
        </r>
      </text>
    </comment>
    <comment ref="B70" authorId="1">
      <text>
        <r>
          <rPr>
            <b/>
            <sz val="9"/>
            <rFont val="Tahoma"/>
            <charset val="134"/>
          </rPr>
          <t>HD_VIDEODEC_PATH_CONFIG dec_config;
dec_config.max_mem.bs_counts = 7;
hd_videodec_set(videodec_path, HD_VIDEODEC_PARAM_PATH_CONFIG, &amp;dec_config);</t>
        </r>
      </text>
    </comment>
    <comment ref="B71" authorId="1">
      <text>
        <r>
          <rPr>
            <b/>
            <sz val="9"/>
            <rFont val="Tahoma"/>
            <charset val="134"/>
          </rPr>
          <t>for HD_COMMON_MEM_DEC_TILE_POOL</t>
        </r>
      </text>
    </comment>
    <comment ref="B72" authorId="1">
      <text>
        <r>
          <rPr>
            <b/>
            <sz val="9"/>
            <rFont val="Tahoma"/>
            <charset val="134"/>
          </rPr>
          <t>for HD_COMMON_MEM_DEC_TILE_POOL</t>
        </r>
      </text>
    </comment>
    <comment ref="B73" authorId="1">
      <text>
        <r>
          <rPr>
            <b/>
            <sz val="9"/>
            <rFont val="Tahoma"/>
            <charset val="134"/>
          </rPr>
          <t>HD_VIDEOPROC_CTRL ctrl;
ctrl.func = HD_VIDEOPROC_FUNC_DI;
hd_videoproc_set(videproc_path, HD_VIDEOPROC_PARAM_CTRL, &amp;ctrl);</t>
        </r>
      </text>
    </comment>
    <comment ref="B74" authorId="1">
      <text>
        <r>
          <rPr>
            <b/>
            <sz val="9"/>
            <rFont val="Tahoma"/>
            <charset val="134"/>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76" authorId="1">
      <text>
        <r>
          <rPr>
            <b/>
            <sz val="9"/>
            <rFont val="Tahoma"/>
            <charset val="134"/>
          </rPr>
          <t>HD_VIDEOENC_IN  param;
param.dim.w = 1920;
param.dim.h = 1080;
hd_videoenc_set(videoenc_path, HD_VIDEOENC_PARAM_IN, &amp;param);</t>
        </r>
      </text>
    </comment>
    <comment ref="B77" authorId="1">
      <text>
        <r>
          <rPr>
            <b/>
            <sz val="9"/>
            <rFont val="Tahoma"/>
            <charset val="134"/>
          </rPr>
          <t>HD_VIDEOENC_IN  param;
param.dim.w = 1920;
param.dim.h = 1080;
hd_videoenc_set(videoenc_path, HD_VIDEOENC_PARAM_IN, &amp;param);</t>
        </r>
      </text>
    </comment>
    <comment ref="B78" authorId="1">
      <text>
        <r>
          <rPr>
            <b/>
            <sz val="9"/>
            <rFont val="Tahoma"/>
            <charset val="134"/>
          </rPr>
          <t>HD_VIDEOCAP_PATH_CONFIG cap_config;        
cap_config.data_pool[0].counts = HD_VIDEOCAP_SET_COUNT(4, 0);
hd_videocap_set(videocap_path, HD_VIDEOCAP_PARAM_PATH_CONFIG, &amp;cap_config);</t>
        </r>
      </text>
    </comment>
    <comment ref="C78" authorId="0">
      <text>
        <r>
          <rPr>
            <b/>
            <sz val="9"/>
            <rFont val="Tahoma"/>
            <charset val="134"/>
          </rPr>
          <t>non-realtime: 1.5~2.5
realtime: 3~4.5</t>
        </r>
      </text>
    </comment>
    <comment ref="B79" authorId="1">
      <text>
        <r>
          <rPr>
            <b/>
            <sz val="9"/>
            <rFont val="Tahoma"/>
            <charset val="134"/>
          </rPr>
          <t>HD_VIDEOCAP_OUT cap_out;
cap_out.pxlfmt = HD_VIDEO_PXLFMT_YUV420_NVX3;
hd_videocap_set(videocap_path, HD_VIDEOCAP_PARAM_OUT, &amp;cap_out);</t>
        </r>
      </text>
    </comment>
    <comment ref="C79" authorId="0">
      <text>
        <r>
          <rPr>
            <b/>
            <sz val="9"/>
            <rFont val="Tahoma"/>
            <charset val="134"/>
          </rPr>
          <t>-Pixel  Bytes-
1.5: YUV420 (HD_VIDEO_PXLFMT_YUV420)
2: YUV422 (HD_VIDEO_PXLFMT_YUV422_ONE)
1.125: YUV420 SCE compression
              (HD_VIDEO_PXLFMT_YUV420_NVX3)</t>
        </r>
      </text>
    </comment>
    <comment ref="B80" authorId="1">
      <text>
        <r>
          <rPr>
            <b/>
            <sz val="9"/>
            <rFont val="Tahoma"/>
            <charset val="134"/>
          </rPr>
          <t xml:space="preserve">HD_VIDEOENC_OUT encode_out_param;
encode_out_param.h26x.svc_layer = HD_SVC_4X; //svc4x on, count +1
encode_out_param.h26x.ltr_interval = 30; //ltr on, count +1
hd_videoenc_set(videoenc_path, HD_VIDEOENC_PARAM_OUT_ENC_PARAM, &amp;encode_out_param);
</t>
        </r>
      </text>
    </comment>
    <comment ref="C80" authorId="0">
      <text>
        <r>
          <rPr>
            <b/>
            <sz val="9"/>
            <rFont val="Tahoma"/>
            <charset val="134"/>
          </rPr>
          <t xml:space="preserve">basic = 1
ltr +1
svc4x +1
</t>
        </r>
      </text>
    </comment>
    <comment ref="B81" authorId="1">
      <text>
        <r>
          <rPr>
            <b/>
            <sz val="9"/>
            <rFont val="Tahoma"/>
            <charset val="134"/>
          </rPr>
          <t>for HD_COMMON_MEM_ENC_REF_POOL</t>
        </r>
      </text>
    </comment>
    <comment ref="B82" authorId="1">
      <text>
        <r>
          <rPr>
            <b/>
            <sz val="9"/>
            <rFont val="Tahoma"/>
            <charset val="134"/>
          </rPr>
          <t>for HD_COMMON_MEM_ENC_REF_POOL</t>
        </r>
      </text>
    </comment>
    <comment ref="B83" authorId="1">
      <text>
        <r>
          <rPr>
            <b/>
            <sz val="9"/>
            <rFont val="Tahoma"/>
            <charset val="134"/>
          </rPr>
          <t>VENDOR_VIDEO_PARAM_TMNR_EXT tmnr;
tmnr.tmnr_en = 1;                                            
vendor_video_set(videoenc_path, VENDOR_VIDEO_TMNR_CTRL, &amp;tmnr);</t>
        </r>
      </text>
    </comment>
    <comment ref="B84" authorId="1">
      <text>
        <r>
          <rPr>
            <b/>
            <sz val="9"/>
            <rFont val="Tahoma"/>
            <charset val="134"/>
          </rPr>
          <t>HD_H26XENC_RATE_CONTROL param;
param.cbr.bitrate = 8192 * 1024;
hd_videoenc_set(videoenc_path, HD_VIDEOENC_PARAM_OUT_RATE_CONTROL, &amp;param);</t>
        </r>
      </text>
    </comment>
    <comment ref="B85" authorId="1">
      <text>
        <r>
          <rPr>
            <b/>
            <sz val="9"/>
            <rFont val="Tahoma"/>
            <charset val="134"/>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5" authorId="0">
      <text>
        <r>
          <rPr>
            <b/>
            <sz val="9"/>
            <rFont val="Tahoma"/>
            <charset val="134"/>
          </rPr>
          <t>According to your qp table, to decide min compression rate by min qp.</t>
        </r>
      </text>
    </comment>
    <comment ref="B86" authorId="1">
      <text>
        <r>
          <rPr>
            <b/>
            <sz val="9"/>
            <rFont val="Tahoma"/>
            <charset val="134"/>
          </rPr>
          <t xml:space="preserve">HD_VIDEOENC_PATH_CONFIG enc_config;
enc_config.data_pool[0].counts = HD_VIDEOENC_SET_COUNT(7, 0);
hd_videoenc_set(videoenc_path, HD_VIDEOENC_PARAM_PATH_CONFIG, &amp;enc_config);  </t>
        </r>
      </text>
    </comment>
    <comment ref="B88" authorId="1">
      <text>
        <r>
          <rPr>
            <b/>
            <sz val="9"/>
            <rFont val="Tahoma"/>
            <charset val="134"/>
          </rPr>
          <t>HD_VIDEOENC_IN  param;
param.dim.w = 1920;
param.dim.h = 1080;
hd_videoenc_set(videoenc_path, HD_VIDEOENC_PARAM_IN, &amp;param);</t>
        </r>
      </text>
    </comment>
    <comment ref="B89" authorId="1">
      <text>
        <r>
          <rPr>
            <b/>
            <sz val="9"/>
            <rFont val="Tahoma"/>
            <charset val="134"/>
          </rPr>
          <t>HD_VIDEOENC_IN  param;
param.dim.w = 1920;
param.dim.h = 1080;
hd_videoenc_set(videoenc_path, HD_VIDEOENC_PARAM_IN, &amp;param);</t>
        </r>
      </text>
    </comment>
    <comment ref="B90" authorId="1">
      <text>
        <r>
          <rPr>
            <b/>
            <sz val="9"/>
            <rFont val="Tahoma"/>
            <charset val="134"/>
          </rPr>
          <t>HD_VIDEOCAP_PATH_CONFIG cap_config;        
cap_config.data_pool[0].counts = HD_VIDEOCAP_SET_COUNT(4, 0);
hd_videocap_set(videocap_path, HD_VIDEOCAP_PARAM_PATH_CONFIG, &amp;cap_config);</t>
        </r>
      </text>
    </comment>
    <comment ref="C90" authorId="0">
      <text>
        <r>
          <rPr>
            <b/>
            <sz val="9"/>
            <rFont val="Tahoma"/>
            <charset val="134"/>
          </rPr>
          <t>non-realtime: 1.5~2.5
realtime: 3~4.5</t>
        </r>
      </text>
    </comment>
    <comment ref="B91" authorId="1">
      <text>
        <r>
          <rPr>
            <b/>
            <sz val="9"/>
            <rFont val="Tahoma"/>
            <charset val="134"/>
          </rPr>
          <t>HD_VIDEOCAP_OUT cap_out;
cap_out.pxlfmt = HD_VIDEO_PXLFMT_YUV420_NVX3;
hd_videocap_set(videocap_path, HD_VIDEOCAP_PARAM_OUT, &amp;cap_out);</t>
        </r>
      </text>
    </comment>
    <comment ref="C91" authorId="0">
      <text>
        <r>
          <rPr>
            <b/>
            <sz val="9"/>
            <rFont val="Tahoma"/>
            <charset val="134"/>
          </rPr>
          <t>-Pixel  Bytes-
1.5: YUV420 (HD_VIDEO_PXLFMT_YUV420)
2: YUV422 (HD_VIDEO_PXLFMT_YUV422_ONE)
1.125: YUV420 SCE compression
              (HD_VIDEO_PXLFMT_YUV420_NVX3)</t>
        </r>
      </text>
    </comment>
    <comment ref="B92" authorId="1">
      <text>
        <r>
          <rPr>
            <b/>
            <sz val="9"/>
            <rFont val="Tahoma"/>
            <charset val="134"/>
          </rPr>
          <t xml:space="preserve">HD_VIDEOENC_OUT encode_out_param;
encode_out_param.h26x.svc_layer = HD_SVC_4X; //svc4x on, count +1
encode_out_param.h26x.ltr_interval = 30; //ltr on, count +1
hd_videoenc_set(videoenc_path, HD_VIDEOENC_PARAM_OUT_ENC_PARAM, &amp;encode_out_param);
</t>
        </r>
      </text>
    </comment>
    <comment ref="C92" authorId="0">
      <text>
        <r>
          <rPr>
            <b/>
            <sz val="9"/>
            <rFont val="Tahoma"/>
            <charset val="134"/>
          </rPr>
          <t xml:space="preserve">basic = 1
ltr +1
svc4x +1
</t>
        </r>
      </text>
    </comment>
    <comment ref="B93" authorId="1">
      <text>
        <r>
          <rPr>
            <b/>
            <sz val="9"/>
            <rFont val="Tahoma"/>
            <charset val="134"/>
          </rPr>
          <t>for HD_COMMON_MEM_ENC_REF_POOL</t>
        </r>
      </text>
    </comment>
    <comment ref="B94" authorId="1">
      <text>
        <r>
          <rPr>
            <b/>
            <sz val="9"/>
            <rFont val="Tahoma"/>
            <charset val="134"/>
          </rPr>
          <t>for HD_COMMON_MEM_ENC_REF_POOL</t>
        </r>
      </text>
    </comment>
    <comment ref="B95" authorId="1">
      <text>
        <r>
          <rPr>
            <b/>
            <sz val="9"/>
            <rFont val="Tahoma"/>
            <charset val="134"/>
          </rPr>
          <t>VENDOR_VIDEO_PARAM_TMNR_EXT tmnr;
tmnr.tmnr_en = 1;                                            
vendor_video_set(videoenc_path, VENDOR_VIDEO_TMNR_CTRL, &amp;tmnr);</t>
        </r>
      </text>
    </comment>
    <comment ref="B96" authorId="1">
      <text>
        <r>
          <rPr>
            <b/>
            <sz val="9"/>
            <rFont val="Tahoma"/>
            <charset val="134"/>
          </rPr>
          <t>HD_H26XENC_RATE_CONTROL param;
param.cbr.bitrate = 8192 * 1024;
hd_videoenc_set(videoenc_path, HD_VIDEOENC_PARAM_OUT_RATE_CONTROL, &amp;param);</t>
        </r>
      </text>
    </comment>
    <comment ref="B97" authorId="1">
      <text>
        <r>
          <rPr>
            <b/>
            <sz val="9"/>
            <rFont val="Tahoma"/>
            <charset val="134"/>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97" authorId="0">
      <text>
        <r>
          <rPr>
            <b/>
            <sz val="9"/>
            <rFont val="Tahoma"/>
            <charset val="134"/>
          </rPr>
          <t>According to your qp table, to decide min compression rate by min qp.</t>
        </r>
      </text>
    </comment>
    <comment ref="B98" authorId="1">
      <text>
        <r>
          <rPr>
            <b/>
            <sz val="9"/>
            <rFont val="Tahoma"/>
            <charset val="134"/>
          </rPr>
          <t xml:space="preserve">HD_VIDEOENC_PATH_CONFIG enc_config;
enc_config.data_pool[0].counts = HD_VIDEOENC_SET_COUNT(7, 0);
hd_videoenc_set(videoenc_path, HD_VIDEOENC_PARAM_PATH_CONFIG, &amp;enc_config);  </t>
        </r>
      </text>
    </comment>
    <comment ref="B100" authorId="1">
      <text>
        <r>
          <rPr>
            <b/>
            <sz val="9"/>
            <rFont val="Tahoma"/>
            <charset val="134"/>
          </rPr>
          <t>HD_VIDEOENC_IN  param;
param.dim.w = 1920;
param.dim.h = 1080;
hd_videoenc_set(videoenc_path, HD_VIDEOENC_PARAM_IN, &amp;param);</t>
        </r>
      </text>
    </comment>
    <comment ref="B101" authorId="1">
      <text>
        <r>
          <rPr>
            <b/>
            <sz val="9"/>
            <rFont val="Tahoma"/>
            <charset val="134"/>
          </rPr>
          <t>HD_VIDEOENC_IN  param;
param.dim.w = 1920;
param.dim.h = 1080;
hd_videoenc_set(videoenc_path, HD_VIDEOENC_PARAM_IN, &amp;param);</t>
        </r>
      </text>
    </comment>
    <comment ref="B102" authorId="1">
      <text>
        <r>
          <rPr>
            <b/>
            <sz val="9"/>
            <rFont val="Tahoma"/>
            <charset val="134"/>
          </rPr>
          <t>HD_VIDEOCAP_PATH_CONFIG cap_config;        
cap_config.data_pool[0].counts = HD_VIDEOCAP_SET_COUNT(4, 0);
hd_videocap_set(videocap_path, HD_VIDEOCAP_PARAM_PATH_CONFIG, &amp;cap_config);</t>
        </r>
      </text>
    </comment>
    <comment ref="C102" authorId="0">
      <text>
        <r>
          <rPr>
            <b/>
            <sz val="9"/>
            <rFont val="Tahoma"/>
            <charset val="134"/>
          </rPr>
          <t>non-realtime: 1.5~2.5
realtime: 3~4.5</t>
        </r>
      </text>
    </comment>
    <comment ref="B103" authorId="1">
      <text>
        <r>
          <rPr>
            <b/>
            <sz val="9"/>
            <rFont val="Tahoma"/>
            <charset val="134"/>
          </rPr>
          <t>HD_VIDEOCAP_OUT cap_out;
cap_out.pxlfmt = HD_VIDEO_PXLFMT_YUV420_NVX3;
hd_videocap_set(videocap_path, HD_VIDEOCAP_PARAM_OUT, &amp;cap_out);</t>
        </r>
      </text>
    </comment>
    <comment ref="C103" authorId="0">
      <text>
        <r>
          <rPr>
            <b/>
            <sz val="9"/>
            <rFont val="Tahoma"/>
            <charset val="134"/>
          </rPr>
          <t>-Pixel  Bytes-
1.5: YUV420 (HD_VIDEO_PXLFMT_YUV420)
2: YUV422 (HD_VIDEO_PXLFMT_YUV422_ONE)
1.125: YUV420 SCE compression
              (HD_VIDEO_PXLFMT_YUV420_NVX3)</t>
        </r>
      </text>
    </comment>
    <comment ref="B104" authorId="1">
      <text>
        <r>
          <rPr>
            <b/>
            <sz val="9"/>
            <rFont val="Tahoma"/>
            <charset val="134"/>
          </rPr>
          <t xml:space="preserve">HD_VIDEOENC_OUT encode_out_param;
encode_out_param.h26x.svc_layer = HD_SVC_4X; //svc4x on, count +1
encode_out_param.h26x.ltr_interval = 30; //ltr on, count +1
hd_videoenc_set(videoenc_path, HD_VIDEOENC_PARAM_OUT_ENC_PARAM, &amp;encode_out_param);
</t>
        </r>
      </text>
    </comment>
    <comment ref="C104" authorId="0">
      <text>
        <r>
          <rPr>
            <b/>
            <sz val="9"/>
            <rFont val="Tahoma"/>
            <charset val="134"/>
          </rPr>
          <t xml:space="preserve">basic = 1
ltr +1
svc4x +1
</t>
        </r>
      </text>
    </comment>
    <comment ref="B105" authorId="1">
      <text>
        <r>
          <rPr>
            <b/>
            <sz val="9"/>
            <rFont val="Tahoma"/>
            <charset val="134"/>
          </rPr>
          <t>for HD_COMMON_MEM_ENC_REF_POOL</t>
        </r>
      </text>
    </comment>
    <comment ref="B106" authorId="1">
      <text>
        <r>
          <rPr>
            <b/>
            <sz val="9"/>
            <rFont val="Tahoma"/>
            <charset val="134"/>
          </rPr>
          <t>for HD_COMMON_MEM_ENC_REF_POOL</t>
        </r>
      </text>
    </comment>
    <comment ref="B107" authorId="1">
      <text>
        <r>
          <rPr>
            <b/>
            <sz val="9"/>
            <rFont val="Tahoma"/>
            <charset val="134"/>
          </rPr>
          <t>VENDOR_VIDEO_PARAM_TMNR_EXT tmnr;
tmnr.tmnr_en = 1;                                            
vendor_video_set(videoenc_path, VENDOR_VIDEO_TMNR_CTRL, &amp;tmnr);</t>
        </r>
      </text>
    </comment>
    <comment ref="B108" authorId="1">
      <text>
        <r>
          <rPr>
            <b/>
            <sz val="9"/>
            <rFont val="Tahoma"/>
            <charset val="134"/>
          </rPr>
          <t>HD_H26XENC_RATE_CONTROL param;
param.cbr.bitrate = 8192 * 1024;
hd_videoenc_set(videoenc_path, HD_VIDEOENC_PARAM_OUT_RATE_CONTROL, &amp;param);</t>
        </r>
      </text>
    </comment>
    <comment ref="B109" authorId="1">
      <text>
        <r>
          <rPr>
            <b/>
            <sz val="9"/>
            <rFont val="Tahoma"/>
            <charset val="134"/>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9" authorId="0">
      <text>
        <r>
          <rPr>
            <b/>
            <sz val="9"/>
            <rFont val="Tahoma"/>
            <charset val="134"/>
          </rPr>
          <t>According to your qp table, to decide min compression rate by min qp.</t>
        </r>
      </text>
    </comment>
    <comment ref="B110" authorId="1">
      <text>
        <r>
          <rPr>
            <b/>
            <sz val="9"/>
            <rFont val="Tahoma"/>
            <charset val="134"/>
          </rPr>
          <t xml:space="preserve">HD_VIDEOENC_PATH_CONFIG enc_config;
enc_config.data_pool[0].counts = HD_VIDEOENC_SET_COUNT(7, 0);
hd_videoenc_set(videoenc_path, HD_VIDEOENC_PARAM_PATH_CONFIG, &amp;enc_config);  </t>
        </r>
      </text>
    </comment>
    <comment ref="A111" authorId="1">
      <text>
        <r>
          <rPr>
            <b/>
            <sz val="9"/>
            <rFont val="Tahoma"/>
            <charset val="134"/>
          </rPr>
          <t>DEC--&gt; XXX--&gt;VPE(scaler)--&gt;(Encode Scaler buffer)--&gt;Encode
CAP--&gt; XXX--&gt;VPE(scaler)--&gt;(Encode Scaler buffer)--&gt;Encode</t>
        </r>
      </text>
    </comment>
    <comment ref="B112" authorId="1">
      <text>
        <r>
          <rPr>
            <b/>
            <sz val="9"/>
            <rFont val="Tahoma"/>
            <charset val="134"/>
          </rPr>
          <t>HD_VIDEOPROC_OUT proc_out;
proc_out.bg.w = 1920;
proc_out.bg.h = 1080;
hd_videoproc_set(videoproc_path, HD_VIDEOPROC_PARAM_OUT, &amp;proc_out);</t>
        </r>
      </text>
    </comment>
    <comment ref="B113" authorId="1">
      <text>
        <r>
          <rPr>
            <b/>
            <sz val="9"/>
            <rFont val="Tahoma"/>
            <charset val="134"/>
          </rPr>
          <t>HD_VIDEOPROC_OUT proc_out;
proc_out.bg.w = 1920;
proc_out.bg.h = 1080;
hd_videoproc_set(videoproc_path, HD_VIDEOPROC_PARAM_OUT, &amp;proc_out);</t>
        </r>
      </text>
    </comment>
    <comment ref="B114" authorId="1">
      <text>
        <r>
          <rPr>
            <b/>
            <sz val="9"/>
            <rFont val="Tahoma"/>
            <charset val="134"/>
          </rPr>
          <t>HD_VIDEOPROC_DEV_CONFIG vpe_config;
vpe_config.data_pool[0].counts = HD_VIDEOPROC_SET_COUNT(4, 0);
hd_videoproc_set(videoproc_path, HD_VIDEOPROC_PARAM_DEV_CONFIG, &amp;vpe_config);</t>
        </r>
      </text>
    </comment>
    <comment ref="B115" authorId="1">
      <text>
        <r>
          <rPr>
            <b/>
            <sz val="9"/>
            <rFont val="Tahoma"/>
            <charset val="134"/>
          </rPr>
          <t>HD_VIDEOPROC_OUT proc_out;
proc_out.pxlfmt = HD_VIDEO_PXLFMT_YUV420_NVX3;
hd_videoproc_set(videoproc_path, HD_VIDEOPROC_PARAM_OUT, &amp;proc_out);</t>
        </r>
      </text>
    </comment>
    <comment ref="C115" authorId="0">
      <text>
        <r>
          <rPr>
            <b/>
            <sz val="9"/>
            <rFont val="Tahoma"/>
            <charset val="134"/>
          </rPr>
          <t>-Pixel  Bytes-
1.5: YUV420 (HD_VIDEO_PXLFMT_YUV420)
2: YUV422 (HD_VIDEO_PXLFMT_YUV422_ONE)
1.125: YUV420 SCE compression
              (HD_VIDEO_PXLFMT_YUV420_NVX3)</t>
        </r>
      </text>
    </comment>
    <comment ref="A116" authorId="1">
      <text>
        <r>
          <rPr>
            <b/>
            <sz val="9"/>
            <rFont val="Tahoma"/>
            <charset val="134"/>
          </rPr>
          <t>Videoout(LCD)--&gt;VPE--&gt;(buffers)--&gt;Encode</t>
        </r>
      </text>
    </comment>
    <comment ref="B117" authorId="1">
      <text>
        <r>
          <rPr>
            <b/>
            <sz val="9"/>
            <rFont val="Tahoma"/>
            <charset val="134"/>
          </rPr>
          <t>HD_VIDEOPROC_OUT proc_out;
proc_out.bg.w = 1920;
proc_out.bg.h = 1080;
hd_videoproc_set(videoproc_path, HD_VIDEOPROC_PARAM_OUT, &amp;proc_out);</t>
        </r>
      </text>
    </comment>
    <comment ref="B118" authorId="1">
      <text>
        <r>
          <rPr>
            <b/>
            <sz val="9"/>
            <rFont val="Tahoma"/>
            <charset val="134"/>
          </rPr>
          <t>HD_VIDEOPROC_OUT proc_out;
proc_out.bg.w = 1920;
proc_out.bg.h = 1080;
hd_videoproc_set(videoproc_path, HD_VIDEOPROC_PARAM_OUT, &amp;proc_out);</t>
        </r>
      </text>
    </comment>
    <comment ref="B119" authorId="1">
      <text>
        <r>
          <rPr>
            <b/>
            <sz val="9"/>
            <rFont val="Tahoma"/>
            <charset val="134"/>
          </rPr>
          <t>HD_VIDEOPROC_DEV_CONFIG vpe_config;
vpe_config.data_pool[0].counts = HD_VIDEOPROC_SET_COUNT(4, 0);
hd_videoproc_set(videoproc_path, HD_VIDEOPROC_PARAM_DEV_CONFIG, &amp;vpe_config);</t>
        </r>
      </text>
    </comment>
    <comment ref="B120" authorId="1">
      <text>
        <r>
          <rPr>
            <b/>
            <sz val="9"/>
            <rFont val="Tahoma"/>
            <charset val="134"/>
          </rPr>
          <t>HD_VIDEOPROC_OUT proc_out;
proc_out.pxlfmt = HD_VIDEO_PXLFMT_YUV420_NVX3;
hd_videoproc_set(videoproc_path, HD_VIDEOPROC_PARAM_OUT, &amp;proc_out);</t>
        </r>
      </text>
    </comment>
    <comment ref="C120" authorId="0">
      <text>
        <r>
          <rPr>
            <b/>
            <sz val="9"/>
            <rFont val="Tahoma"/>
            <charset val="134"/>
          </rPr>
          <t>-Pixel  Bytes-
1.5: YUV420 (HD_VIDEO_PXLFMT_YUV420)
2: YUV422 (HD_VIDEO_PXLFMT_YUV422_ONE)
1.125: YUV420 SCE compression
              (HD_VIDEO_PXLFMT_YUV420_NVX3)</t>
        </r>
      </text>
    </comment>
    <comment ref="B121" authorId="1">
      <text>
        <r>
          <rPr>
            <b/>
            <sz val="9"/>
            <rFont val="Tahoma"/>
            <charset val="134"/>
          </rPr>
          <t>HD_H26XENC_RATE_CONTROL param;
param.cbr.bitrate = 8192 * 1024;
hd_videoenc_set(videoenc_path, HD_VIDEOENC_PARAM_OUT_RATE_CONTROL, &amp;param);</t>
        </r>
      </text>
    </comment>
    <comment ref="B122" authorId="1">
      <text>
        <r>
          <rPr>
            <b/>
            <sz val="9"/>
            <rFont val="Tahoma"/>
            <charset val="134"/>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2" authorId="0">
      <text>
        <r>
          <rPr>
            <b/>
            <sz val="9"/>
            <rFont val="Tahoma"/>
            <charset val="134"/>
          </rPr>
          <t>According to your qp table, to decide min compression rate by min qp.</t>
        </r>
      </text>
    </comment>
    <comment ref="B123" authorId="1">
      <text>
        <r>
          <rPr>
            <b/>
            <sz val="9"/>
            <rFont val="Tahoma"/>
            <charset val="134"/>
          </rPr>
          <t xml:space="preserve">HD_VIDEOENC_PATH_CONFIG enc_config;
enc_config.data_pool[0].counts = HD_VIDEOENC_SET_COUNT(7, 0);
hd_videoenc_set(videoenc_path, HD_VIDEOENC_PARAM_PATH_CONFIG, &amp;enc_config);  </t>
        </r>
      </text>
    </comment>
    <comment ref="B124" authorId="1">
      <text>
        <r>
          <rPr>
            <b/>
            <sz val="9"/>
            <rFont val="Tahoma"/>
            <charset val="134"/>
          </rPr>
          <t>xxx.dts
                audio_in {
                /*&lt;ssp_num&gt;,&lt;enable&gt;,&lt;ssp_chan&gt; */
                        ssp =&lt;0    &gt;,  &lt;1     &gt;,&lt;16      &gt;...
Total enabled channele numbers</t>
        </r>
      </text>
    </comment>
    <comment ref="B125" authorId="1">
      <text>
        <r>
          <rPr>
            <b/>
            <sz val="9"/>
            <rFont val="Tahoma"/>
            <charset val="134"/>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6" authorId="1">
      <text>
        <r>
          <rPr>
            <b/>
            <sz val="9"/>
            <rFont val="Tahoma"/>
            <charset val="134"/>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6" authorId="0">
      <text>
        <r>
          <rPr>
            <b/>
            <sz val="9"/>
            <rFont val="Tahoma"/>
            <charset val="134"/>
          </rPr>
          <t>1: mono
2: stereo</t>
        </r>
      </text>
    </comment>
    <comment ref="B127" authorId="1">
      <text>
        <r>
          <rPr>
            <b/>
            <sz val="9"/>
            <rFont val="Tahoma"/>
            <charset val="134"/>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8" authorId="1">
      <text>
        <r>
          <rPr>
            <b/>
            <sz val="9"/>
            <rFont val="Tahoma"/>
            <charset val="134"/>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8" authorId="0">
      <text>
        <r>
          <rPr>
            <b/>
            <sz val="9"/>
            <rFont val="Tahoma"/>
            <charset val="134"/>
          </rPr>
          <t>Samples per audio frame</t>
        </r>
      </text>
    </comment>
    <comment ref="B129" authorId="1">
      <text>
        <r>
          <rPr>
            <b/>
            <sz val="9"/>
            <rFont val="Tahoma"/>
            <charset val="134"/>
          </rPr>
          <t>HD_AUDIOCAP_DEV_CONFIG audiocap_config;
audiocap_config.data_pool[0].counts = HD_AUDIOCAP_SET_COUNT(15, 0);
hd_audiocap_set(audiocap_path, HD_AUDIOCAP_PARAM_DEV_CONFIG, &amp;audiocap_config);</t>
        </r>
      </text>
    </comment>
    <comment ref="B130" authorId="1">
      <text>
        <r>
          <rPr>
            <b/>
            <sz val="9"/>
            <rFont val="Tahoma"/>
            <charset val="134"/>
          </rPr>
          <t>xxx.dts==&gt;
                audio_out {
                        /*&lt;enable&gt;,&lt;resample_ratio&gt;,&lt;playback_chmap&gt; */
               ssp =       &lt;1     &gt;, &lt;1          &gt;,&lt; (-1)         &gt;,
                                &lt;1     &gt;, &lt;6          &gt;,&lt; (-1)         &gt;,
Total enabled channele numbers</t>
        </r>
      </text>
    </comment>
    <comment ref="B131" authorId="1">
      <text>
        <r>
          <rPr>
            <b/>
            <sz val="9"/>
            <rFont val="Tahoma"/>
            <charset val="134"/>
          </rPr>
          <t>HD_AUDIODEC_IN dec_param;
dec_param.sample_rate = HD_AUDIO_SR_8000;
dec_param.sample_bit = HD_AUDIO_BIT_WIDTH_16;
dec_param.mode = HD_AUDIO_SOUND_MODE_MONO;
hd_audiodec_set(audiodec_path, HD_AUDIODEC_PARAM_IN, &amp;dec_param);</t>
        </r>
      </text>
    </comment>
    <comment ref="B132" authorId="1">
      <text>
        <r>
          <rPr>
            <b/>
            <sz val="9"/>
            <rFont val="Tahoma"/>
            <charset val="134"/>
          </rPr>
          <t>HD_AUDIODEC_IN dec_param;
dec_param.sample_rate = HD_AUDIO_SR_8000;
dec_param.sample_bit = HD_AUDIO_BIT_WIDTH_16;
dec_param.mode = HD_AUDIO_SOUND_MODE_MONO;
hd_audiodec_set(audiodec_path, HD_AUDIODEC_PARAM_IN, &amp;dec_param);</t>
        </r>
      </text>
    </comment>
    <comment ref="C132" authorId="0">
      <text>
        <r>
          <rPr>
            <b/>
            <sz val="9"/>
            <rFont val="Tahoma"/>
            <charset val="134"/>
          </rPr>
          <t>1: mono
2: stereo</t>
        </r>
      </text>
    </comment>
    <comment ref="B133" authorId="1">
      <text>
        <r>
          <rPr>
            <b/>
            <sz val="9"/>
            <rFont val="Tahoma"/>
            <charset val="134"/>
          </rPr>
          <t>HD_AUDIODEC_IN dec_param;
dec_param.sample_rate = HD_AUDIO_SR_8000;
dec_param.sample_bit = HD_AUDIO_BIT_WIDTH_16;
dec_param.mode = HD_AUDIO_SOUND_MODE_MONO;
hd_audiodec_set(audiodec_path, HD_AUDIODEC_PARAM_IN, &amp;dec_param);</t>
        </r>
      </text>
    </comment>
    <comment ref="B134" authorId="1">
      <text>
        <r>
          <rPr>
            <b/>
            <sz val="9"/>
            <rFont val="Tahoma"/>
            <charset val="134"/>
          </rPr>
          <t xml:space="preserve">HD_AUDIODEC_PATH_CONFIG config;
config.data_pool[0].frame_sample_size = 2048; //frame_samples * sample_width / 8
hd_audiodec_set(audiodec_path, HD_AUDIODEC_PARAM_PATH_CONFIG, &amp;config);
</t>
        </r>
      </text>
    </comment>
    <comment ref="C134" authorId="0">
      <text>
        <r>
          <rPr>
            <b/>
            <sz val="9"/>
            <rFont val="Tahoma"/>
            <charset val="134"/>
          </rPr>
          <t>Samples per audio frame</t>
        </r>
      </text>
    </comment>
    <comment ref="B135" authorId="1">
      <text>
        <r>
          <rPr>
            <b/>
            <sz val="9"/>
            <rFont val="Tahoma"/>
            <charset val="134"/>
          </rPr>
          <t>HD_AUDIODEC_PATH_CONFIG audiodec_config;
audiodec_config.data_pool[0].counts = HD_AUDIODEC_SET_COUNT(10, 0);
hd_audiodec_set(audiodec_path, HD_AUDIODEC_PARAM_PATH_CONFIG, &amp;audiodec_config);</t>
        </r>
      </text>
    </comment>
    <comment ref="A137" authorId="1">
      <text>
        <r>
          <rPr>
            <b/>
            <sz val="9"/>
            <rFont val="Tahoma"/>
            <charset val="134"/>
          </rPr>
          <t>OSG pattern buffers for encode OSG or display OSG</t>
        </r>
      </text>
    </comment>
    <comment ref="A138" authorId="1">
      <text>
        <r>
          <rPr>
            <b/>
            <sz val="9"/>
            <rFont val="Tahoma"/>
            <charset val="134"/>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authors>
    <author>Schumy Chen(陳逸青)</author>
    <author>Ivan Wang(王仁毅)</author>
  </authors>
  <commentList>
    <comment ref="A3" authorId="0">
      <text>
        <r>
          <rPr>
            <sz val="9"/>
            <rFont val="Tahoma"/>
            <charset val="134"/>
          </rPr>
          <t>This is the temporary buffer pool used by HDAL framework while memory layout is changed.
If you want to get memory, you should create your own pool (such as using HD_COMMON_MEM_USER_BLK).</t>
        </r>
      </text>
    </comment>
    <comment ref="B3" authorId="1">
      <text>
        <r>
          <rPr>
            <b/>
            <sz val="9"/>
            <rFont val="Tahoma"/>
            <charset val="134"/>
          </rPr>
          <t>(enc_cap_out+enc_out+dec_out)* 10% with dec/cap buffer alignment</t>
        </r>
      </text>
    </comment>
    <comment ref="A4" authorId="0">
      <text>
        <r>
          <rPr>
            <sz val="9"/>
            <rFont val="Tahoma"/>
            <charset val="134"/>
          </rPr>
          <t>This pool is to put incoming bitstream data which is sent from user app in the playback flow.
See the tab "Video Flow" in this excel to know its role in the flow mode.</t>
        </r>
      </text>
    </comment>
    <comment ref="A5" authorId="0">
      <text>
        <r>
          <rPr>
            <sz val="9"/>
            <rFont val="Tahoma"/>
            <charset val="134"/>
          </rPr>
          <t>This pool is used to put the decoder's output YUV buffer).
See the tab "Video Flow" in this excel to know its role in the flow mode.</t>
        </r>
      </text>
    </comment>
    <comment ref="A6" authorId="0">
      <text>
        <r>
          <rPr>
            <sz val="9"/>
            <rFont val="Tahoma"/>
            <charset val="134"/>
          </rPr>
          <t>This pool is used as the decoder's YUV buffer (extra-output).
See the tab "Video Flow" in this excel to know its role in the flow mode.</t>
        </r>
      </text>
    </comment>
    <comment ref="A7" authorId="0">
      <text>
        <r>
          <rPr>
            <sz val="9"/>
            <rFont val="Tahoma"/>
            <charset val="134"/>
          </rPr>
          <t xml:space="preserve">This is used by H265 decoder for TILE feature.
</t>
        </r>
      </text>
    </comment>
    <comment ref="B7" authorId="1">
      <text>
        <r>
          <rPr>
            <b/>
            <sz val="9"/>
            <rFont val="Tahoma"/>
            <charset val="134"/>
          </rPr>
          <t>H265 internal usage = max bs size x 2</t>
        </r>
      </text>
    </comment>
    <comment ref="A8" authorId="0">
      <text>
        <r>
          <rPr>
            <sz val="9"/>
            <rFont val="Tahoma"/>
            <charset val="134"/>
          </rPr>
          <t>This pool is used to put capture's output YUV buffer for encode flow.
See the tab "Video Flow" in this excel to know its role in the flow mode.</t>
        </r>
      </text>
    </comment>
    <comment ref="A9" authorId="0">
      <text>
        <r>
          <rPr>
            <sz val="9"/>
            <rFont val="Tahoma"/>
            <charset val="134"/>
          </rPr>
          <t>This pool is used for encoder outputting bitstream data.
See the tab "Video Flow" in this excel to know its role in the flow mode.</t>
        </r>
      </text>
    </comment>
    <comment ref="A10" authorId="0">
      <text>
        <r>
          <rPr>
            <sz val="9"/>
            <rFont val="Tahoma"/>
            <charset val="134"/>
          </rPr>
          <t>The encoder's reference buffers are put here. (For main encode 1)</t>
        </r>
      </text>
    </comment>
    <comment ref="A11" authorId="0">
      <text>
        <r>
          <rPr>
            <sz val="9"/>
            <rFont val="Tahoma"/>
            <charset val="134"/>
          </rPr>
          <t>The encoder's TMNR buffers are put here. (For main encode 1)</t>
        </r>
      </text>
    </comment>
    <comment ref="A12" authorId="0">
      <text>
        <r>
          <rPr>
            <sz val="9"/>
            <rFont val="Tahoma"/>
            <charset val="134"/>
          </rPr>
          <t>The encoder's reference buffers are put here. (For main encode 2)</t>
        </r>
      </text>
    </comment>
    <comment ref="A13" authorId="0">
      <text>
        <r>
          <rPr>
            <sz val="9"/>
            <rFont val="Tahoma"/>
            <charset val="134"/>
          </rPr>
          <t>The encoder's TMNR buffers are put here. (For main encode 2)</t>
        </r>
      </text>
    </comment>
    <comment ref="A14" authorId="1">
      <text>
        <r>
          <rPr>
            <sz val="9"/>
            <rFont val="Tahoma"/>
            <charset val="134"/>
          </rPr>
          <t>The encoder's reference buffers are put here. (Substream &amp; dispEnc share this memory)</t>
        </r>
      </text>
    </comment>
    <comment ref="A15" authorId="1">
      <text>
        <r>
          <rPr>
            <sz val="9"/>
            <rFont val="Tahoma"/>
            <charset val="134"/>
          </rPr>
          <t>The encoder's TMNR buffers are put here. (Substream &amp; dispEnc share this memory)</t>
        </r>
      </text>
    </comment>
    <comment ref="A16" authorId="0">
      <text>
        <r>
          <rPr>
            <sz val="9"/>
            <rFont val="Tahoma"/>
            <charset val="134"/>
          </rPr>
          <t>This pool is used to put vpe's(videoprocess) output for scaling image in the encode flow. That may be used in normal encode or display encode.
See the tab "Video Flow" in this excel to know its role in the flow mode.</t>
        </r>
      </text>
    </comment>
    <comment ref="A17" authorId="0">
      <text>
        <r>
          <rPr>
            <sz val="9"/>
            <rFont val="Tahoma"/>
            <charset val="134"/>
          </rPr>
          <t>This is capture's output YUV in the liveview flow on the primary LCD.
See the tab "Video Flow" in this excel to know its role in the flow mode.</t>
        </r>
      </text>
    </comment>
    <comment ref="B17" authorId="1">
      <text>
        <r>
          <rPr>
            <b/>
            <sz val="9"/>
            <rFont val="Tahoma"/>
            <charset val="134"/>
          </rPr>
          <t>It can shared to use DEC_OUT_POOL</t>
        </r>
      </text>
    </comment>
    <comment ref="A18" authorId="0">
      <text>
        <r>
          <rPr>
            <sz val="9"/>
            <rFont val="Tahoma"/>
            <charset val="134"/>
          </rPr>
          <t>This is the YUV video buffer for primary LCD fb0.
See the tab "Video Flow" in this excel to know its role in the flow mode.</t>
        </r>
      </text>
    </comment>
    <comment ref="A19" authorId="0">
      <text>
        <r>
          <rPr>
            <sz val="9"/>
            <rFont val="Tahoma"/>
            <charset val="134"/>
          </rPr>
          <t>This is the display buffer for fb1(GUI), fb2(other) and RLE buffer.
RLE(Run Length Encode) buffer is required only when RLE function is enabled; that can reduce the usage of bandwidth.</t>
        </r>
      </text>
    </comment>
    <comment ref="A20" authorId="0">
      <text>
        <r>
          <rPr>
            <sz val="9"/>
            <rFont val="Tahoma"/>
            <charset val="134"/>
          </rPr>
          <t>This is capture's output YUV in the liveview flow on the secondary LCD.
See the tab "Video Flow" in this excel to know its role in the flow mode.</t>
        </r>
      </text>
    </comment>
    <comment ref="A21" authorId="0">
      <text>
        <r>
          <rPr>
            <sz val="9"/>
            <rFont val="Tahoma"/>
            <charset val="134"/>
          </rPr>
          <t>This is the YUV video buffer for secondary LCD fb3.
See the tab "Video Flow" in this excel to know its role in the flow mode.</t>
        </r>
      </text>
    </comment>
    <comment ref="A22" authorId="0">
      <text>
        <r>
          <rPr>
            <sz val="9"/>
            <rFont val="Tahoma"/>
            <charset val="134"/>
          </rPr>
          <t>This is the display buffer for fb4(GUI), fb5(other use).</t>
        </r>
      </text>
    </comment>
    <comment ref="A23" authorId="0">
      <text>
        <r>
          <rPr>
            <sz val="9"/>
            <rFont val="Tahoma"/>
            <charset val="134"/>
          </rPr>
          <t>This is capture's output YUV in the liveview flow on the tertiary LCD.
See the tab "Video Flow" in this excel to know its role in the flow mode.</t>
        </r>
      </text>
    </comment>
    <comment ref="A24" authorId="0">
      <text>
        <r>
          <rPr>
            <sz val="9"/>
            <rFont val="Tahoma"/>
            <charset val="134"/>
          </rPr>
          <t>This is the YUV video buffer for tertiary LCD fb6.
See the tab "Video Flow" in this excel to know its role in the flow mode.</t>
        </r>
      </text>
    </comment>
    <comment ref="A25" authorId="0">
      <text>
        <r>
          <rPr>
            <sz val="9"/>
            <rFont val="Tahoma"/>
            <charset val="134"/>
          </rPr>
          <t>This is the display buffer for fb7(GUI), fb8(other use).</t>
        </r>
      </text>
    </comment>
    <comment ref="A26" authorId="0">
      <text>
        <r>
          <rPr>
            <sz val="9"/>
            <rFont val="Tahoma"/>
            <charset val="134"/>
          </rPr>
          <t>This pool is used to put the incoming PCM data received from audio device in the audio encode flow.
See the tab "Video Flow" in this excel to know its role in the flow mode.</t>
        </r>
      </text>
    </comment>
    <comment ref="A27" authorId="0">
      <text>
        <r>
          <rPr>
            <sz val="9"/>
            <rFont val="Tahoma"/>
            <charset val="134"/>
          </rPr>
          <t>This pool is used to put the outgoing PCM data sent by the user in the audio playback flow.
See the tab "Video Flow" in this excel to know its role in the flow mode.</t>
        </r>
      </text>
    </comment>
    <comment ref="A28" authorId="1">
      <text>
        <r>
          <rPr>
            <sz val="9"/>
            <rFont val="Tahoma"/>
            <charset val="134"/>
          </rPr>
          <t>This pool is used when Motion Detection for liveview capture.</t>
        </r>
      </text>
    </comment>
    <comment ref="A29" authorId="0">
      <text>
        <r>
          <rPr>
            <sz val="9"/>
            <rFont val="Tahoma"/>
            <charset val="134"/>
          </rPr>
          <t>This pool is used to put TMNR internal data.</t>
        </r>
      </text>
    </comment>
    <comment ref="B29" authorId="1">
      <text>
        <r>
          <rPr>
            <b/>
            <sz val="9"/>
            <rFont val="Tahoma"/>
            <charset val="134"/>
          </rPr>
          <t>Fixed value 70K x 2</t>
        </r>
      </text>
    </comment>
    <comment ref="A30" authorId="0">
      <text>
        <r>
          <rPr>
            <sz val="9"/>
            <rFont val="Tahoma"/>
            <charset val="134"/>
          </rPr>
          <t>If running AI CNN, you may need this dedicatd buffer.</t>
        </r>
      </text>
    </comment>
    <comment ref="B30" authorId="1">
      <text>
        <r>
          <rPr>
            <b/>
            <sz val="9"/>
            <rFont val="Tahoma"/>
            <charset val="134"/>
          </rPr>
          <t>Memory used for hwCNN engine</t>
        </r>
      </text>
    </comment>
    <comment ref="A31" authorId="0">
      <text>
        <r>
          <rPr>
            <sz val="9"/>
            <rFont val="Tahoma"/>
            <charset val="134"/>
          </rPr>
          <t>If running OSG function, you may need this dedicatd buffer.</t>
        </r>
      </text>
    </comment>
    <comment ref="B31" authorId="1">
      <text>
        <r>
          <rPr>
            <b/>
            <sz val="9"/>
            <rFont val="Tahoma"/>
            <charset val="134"/>
          </rPr>
          <t>User definied size for OSG memory</t>
        </r>
        <r>
          <rPr>
            <sz val="9"/>
            <rFont val="Tahoma"/>
            <charset val="134"/>
          </rPr>
          <t xml:space="preserve">
</t>
        </r>
      </text>
    </comment>
    <comment ref="A32" authorId="0">
      <text>
        <r>
          <rPr>
            <sz val="9"/>
            <rFont val="Tahoma"/>
            <charset val="134"/>
          </rPr>
          <t xml:space="preserve">This pool is dedicated used for user purpose. </t>
        </r>
      </text>
    </comment>
    <comment ref="B32" authorId="1">
      <text>
        <r>
          <rPr>
            <b/>
            <sz val="9"/>
            <rFont val="Tahoma"/>
            <charset val="134"/>
          </rPr>
          <t>User definied memory for AP usage</t>
        </r>
      </text>
    </comment>
    <comment ref="D32" authorId="1">
      <text>
        <r>
          <rPr>
            <b/>
            <sz val="9"/>
            <rFont val="Tahoma"/>
            <charset val="134"/>
          </rPr>
          <t>User memory, not included in total size</t>
        </r>
        <r>
          <rPr>
            <sz val="9"/>
            <rFont val="Tahoma"/>
            <charset val="134"/>
          </rPr>
          <t xml:space="preserve">
</t>
        </r>
      </text>
    </comment>
  </commentList>
</comments>
</file>

<file path=xl/comments3.xml><?xml version="1.0" encoding="utf-8"?>
<comments xmlns="http://schemas.openxmlformats.org/spreadsheetml/2006/main">
  <authors>
    <author>Ivan Wang(王仁毅)</author>
  </authors>
  <commentList>
    <comment ref="D5" authorId="0">
      <text>
        <r>
          <rPr>
            <b/>
            <sz val="9"/>
            <rFont val="Tahoma"/>
            <charset val="134"/>
          </rPr>
          <t>NVR may not support</t>
        </r>
      </text>
    </comment>
    <comment ref="G11" authorId="0">
      <text>
        <r>
          <rPr>
            <b/>
            <sz val="9"/>
            <rFont val="Tahoma"/>
            <charset val="134"/>
          </rPr>
          <t>321 supports output format YUV420 SCE</t>
        </r>
      </text>
    </comment>
    <comment ref="D28" authorId="0">
      <text>
        <r>
          <rPr>
            <b/>
            <sz val="9"/>
            <rFont val="Tahoma"/>
            <charset val="134"/>
          </rPr>
          <t>NVR may not support</t>
        </r>
      </text>
    </comment>
    <comment ref="G34" authorId="0">
      <text>
        <r>
          <rPr>
            <b/>
            <sz val="9"/>
            <rFont val="Tahoma"/>
            <charset val="134"/>
          </rPr>
          <t>321 supports output format YUV420 SCE</t>
        </r>
      </text>
    </comment>
    <comment ref="D51" authorId="0">
      <text>
        <r>
          <rPr>
            <b/>
            <sz val="9"/>
            <rFont val="Tahoma"/>
            <charset val="134"/>
          </rPr>
          <t>NVR may not support</t>
        </r>
      </text>
    </comment>
  </commentList>
</comments>
</file>

<file path=xl/comments4.xml><?xml version="1.0" encoding="utf-8"?>
<comments xmlns="http://schemas.openxmlformats.org/spreadsheetml/2006/main">
  <authors>
    <author>Ivan Wang(王仁毅)</author>
  </authors>
  <commentList>
    <comment ref="B9" authorId="0">
      <text>
        <r>
          <rPr>
            <b/>
            <sz val="9"/>
            <rFont val="Tahoma"/>
            <charset val="134"/>
          </rPr>
          <t>YUV420:1.5 YUV422:2</t>
        </r>
      </text>
    </comment>
    <comment ref="B12" authorId="0">
      <text>
        <r>
          <rPr>
            <b/>
            <sz val="9"/>
            <rFont val="Tahoma"/>
            <charset val="134"/>
          </rPr>
          <t xml:space="preserve">basic = 1
ltr +1
svc4x +1
</t>
        </r>
      </text>
    </comment>
    <comment ref="A18" authorId="0">
      <text>
        <r>
          <rPr>
            <b/>
            <sz val="9"/>
            <rFont val="Tahoma"/>
            <charset val="134"/>
          </rPr>
          <t>always YUV420 to calculate reference buffers</t>
        </r>
      </text>
    </comment>
    <comment ref="A21" authorId="0">
      <text>
        <r>
          <rPr>
            <b/>
            <sz val="9"/>
            <rFont val="Tahoma"/>
            <charset val="134"/>
          </rPr>
          <t>always use YUV420 to calculate
313: Reference buffer
321: Reference buffer x 0.75</t>
        </r>
      </text>
    </comment>
    <comment ref="B30" authorId="0">
      <text>
        <r>
          <rPr>
            <b/>
            <sz val="9"/>
            <rFont val="Tahoma"/>
            <charset val="134"/>
          </rPr>
          <t>YUV420:1.5 YUV422:2</t>
        </r>
      </text>
    </comment>
    <comment ref="B33" authorId="0">
      <text>
        <r>
          <rPr>
            <b/>
            <sz val="9"/>
            <rFont val="Tahoma"/>
            <charset val="134"/>
          </rPr>
          <t xml:space="preserve">basic = 1
ltr +1
svc4x +1
</t>
        </r>
      </text>
    </comment>
    <comment ref="A39" authorId="0">
      <text>
        <r>
          <rPr>
            <b/>
            <sz val="9"/>
            <rFont val="Tahoma"/>
            <charset val="134"/>
          </rPr>
          <t>always YUV420 to calculate reference buffers</t>
        </r>
      </text>
    </comment>
    <comment ref="A42" authorId="0">
      <text>
        <r>
          <rPr>
            <b/>
            <sz val="9"/>
            <rFont val="Tahoma"/>
            <charset val="134"/>
          </rPr>
          <t>always use YUV420 to calculate
313: Reference buffer
321: Reference buffer x 0.75</t>
        </r>
      </text>
    </comment>
    <comment ref="B51" authorId="0">
      <text>
        <r>
          <rPr>
            <b/>
            <sz val="9"/>
            <rFont val="Tahoma"/>
            <charset val="134"/>
          </rPr>
          <t>YUV420:1.5 YUV422:2</t>
        </r>
      </text>
    </comment>
    <comment ref="B56" authorId="0">
      <text>
        <r>
          <rPr>
            <b/>
            <sz val="9"/>
            <rFont val="Tahoma"/>
            <charset val="134"/>
          </rPr>
          <t xml:space="preserve">basic = 1
ltr +1
svc4x +1
</t>
        </r>
      </text>
    </comment>
    <comment ref="A60" authorId="0">
      <text>
        <r>
          <rPr>
            <b/>
            <sz val="9"/>
            <rFont val="Tahoma"/>
            <charset val="134"/>
          </rPr>
          <t>always YUV420 to calculate reference buffers</t>
        </r>
      </text>
    </comment>
    <comment ref="A63" authorId="0">
      <text>
        <r>
          <rPr>
            <b/>
            <sz val="9"/>
            <rFont val="Tahoma"/>
            <charset val="134"/>
          </rPr>
          <t>always use YUV420 to calculate
313: Reference buffer
321: Reference buffer x 0.75</t>
        </r>
      </text>
    </comment>
    <comment ref="B80" authorId="0">
      <text>
        <r>
          <rPr>
            <b/>
            <sz val="9"/>
            <rFont val="Tahoma"/>
            <charset val="134"/>
          </rPr>
          <t>YUV420:1.5 YUV422:2</t>
        </r>
      </text>
    </comment>
    <comment ref="B82" authorId="0">
      <text>
        <r>
          <rPr>
            <b/>
            <sz val="9"/>
            <rFont val="Tahoma"/>
            <charset val="134"/>
          </rPr>
          <t>YUV420:1.5
YUV422:2
YUV420(SCE):1.125</t>
        </r>
      </text>
    </comment>
  </commentList>
</comments>
</file>

<file path=xl/comments5.xml><?xml version="1.0" encoding="utf-8"?>
<comments xmlns="http://schemas.openxmlformats.org/spreadsheetml/2006/main">
  <authors>
    <author>Ivan Wang(王仁毅)</author>
  </authors>
  <commentList>
    <comment ref="B8" authorId="0">
      <text>
        <r>
          <rPr>
            <b/>
            <sz val="9"/>
            <rFont val="Tahoma"/>
            <charset val="134"/>
          </rPr>
          <t xml:space="preserve">31x YUV422:2
321 YUV420:1.5 </t>
        </r>
      </text>
    </comment>
    <comment ref="B9" authorId="0">
      <text>
        <r>
          <rPr>
            <b/>
            <sz val="9"/>
            <rFont val="Tahoma"/>
            <charset val="134"/>
          </rPr>
          <t>Higher resolution may use lower value</t>
        </r>
      </text>
    </comment>
    <comment ref="A13" authorId="0">
      <text>
        <r>
          <rPr>
            <b/>
            <sz val="9"/>
            <rFont val="Tahoma"/>
            <charset val="134"/>
          </rPr>
          <t>321 needn't BS info</t>
        </r>
      </text>
    </comment>
    <comment ref="C13" authorId="0">
      <text>
        <r>
          <rPr>
            <sz val="9"/>
            <rFont val="Tahoma"/>
            <charset val="134"/>
          </rPr>
          <t xml:space="preserve">Max MB size
265 :  ALIGN(w , 64) * ALIGN(h , 64)/16  for 31x, 321
264 :  Not Needed
</t>
        </r>
      </text>
    </comment>
    <comment ref="C19" authorId="0">
      <text>
        <r>
          <rPr>
            <b/>
            <sz val="9"/>
            <rFont val="Tahoma"/>
            <charset val="134"/>
          </rPr>
          <t>decode bitstream buffer = MAX * 2 + MIN * count</t>
        </r>
      </text>
    </comment>
    <comment ref="A20" authorId="0">
      <text>
        <r>
          <rPr>
            <b/>
            <sz val="9"/>
            <rFont val="Tahoma"/>
            <charset val="134"/>
          </rPr>
          <t>Dec buf+MB info+BS info</t>
        </r>
      </text>
    </comment>
    <comment ref="B28" authorId="0">
      <text>
        <r>
          <rPr>
            <b/>
            <sz val="9"/>
            <rFont val="Tahoma"/>
            <charset val="134"/>
          </rPr>
          <t xml:space="preserve">31x YUV422:2
321 YUV420:1.5 </t>
        </r>
      </text>
    </comment>
    <comment ref="A40" authorId="0">
      <text>
        <r>
          <rPr>
            <b/>
            <sz val="9"/>
            <rFont val="Tahoma"/>
            <charset val="134"/>
          </rPr>
          <t>Dec buf+MB info+BS info</t>
        </r>
      </text>
    </comment>
  </commentList>
</comments>
</file>

<file path=xl/comments6.xml><?xml version="1.0" encoding="utf-8"?>
<comments xmlns="http://schemas.openxmlformats.org/spreadsheetml/2006/main">
  <authors>
    <author>Ivan Wang(王仁毅)</author>
  </authors>
  <commentList>
    <comment ref="B5" authorId="0">
      <text>
        <r>
          <rPr>
            <b/>
            <sz val="9"/>
            <rFont val="Tahoma"/>
            <charset val="134"/>
          </rPr>
          <t>1:mono
2:stereo</t>
        </r>
      </text>
    </comment>
    <comment ref="B7" authorId="0">
      <text>
        <r>
          <rPr>
            <b/>
            <sz val="9"/>
            <rFont val="Tahoma"/>
            <charset val="134"/>
          </rPr>
          <t>Sample count per frame</t>
        </r>
      </text>
    </comment>
    <comment ref="B14" authorId="0">
      <text>
        <r>
          <rPr>
            <b/>
            <sz val="9"/>
            <rFont val="Tahoma"/>
            <charset val="134"/>
          </rPr>
          <t>1:mono
2:stereo</t>
        </r>
      </text>
    </comment>
  </commentList>
</comments>
</file>

<file path=xl/comments7.xml><?xml version="1.0" encoding="utf-8"?>
<comments xmlns="http://schemas.openxmlformats.org/spreadsheetml/2006/main">
  <authors>
    <author>Ivan Wang(王仁毅)</author>
  </authors>
  <commentList>
    <comment ref="A16" authorId="0">
      <text>
        <r>
          <rPr>
            <b/>
            <sz val="9"/>
            <rFont val="Tahoma"/>
            <charset val="134"/>
          </rPr>
          <t>always YUV420 to calculate reference buffers</t>
        </r>
      </text>
    </comment>
  </commentList>
</comments>
</file>

<file path=xl/comments8.xml><?xml version="1.0" encoding="utf-8"?>
<comments xmlns="http://schemas.openxmlformats.org/spreadsheetml/2006/main">
  <authors>
    <author>Ivan Wang(王仁毅)</author>
  </authors>
  <commentList>
    <comment ref="B6" authorId="0">
      <text>
        <r>
          <rPr>
            <b/>
            <sz val="9"/>
            <rFont val="Tahoma"/>
            <charset val="134"/>
          </rPr>
          <t>w&lt;=1088: 16
w&gt;1088: 32</t>
        </r>
      </text>
    </comment>
    <comment ref="B10" authorId="0">
      <text>
        <r>
          <rPr>
            <b/>
            <sz val="9"/>
            <rFont val="Tahoma"/>
            <charset val="134"/>
          </rPr>
          <t>total channel number (include CHIP1-CHIP3)</t>
        </r>
      </text>
    </comment>
  </commentList>
</comments>
</file>

<file path=xl/sharedStrings.xml><?xml version="1.0" encoding="utf-8"?>
<sst xmlns="http://schemas.openxmlformats.org/spreadsheetml/2006/main" count="242">
  <si>
    <t>HDAL Memory Calculation v1.19 (20210625-1)</t>
  </si>
  <si>
    <t>IC Type</t>
  </si>
  <si>
    <t>321</t>
  </si>
  <si>
    <t>Function</t>
  </si>
  <si>
    <t>NVR</t>
  </si>
  <si>
    <t>DDR0 Usage</t>
  </si>
  <si>
    <t>DDR2 Usage</t>
  </si>
  <si>
    <t>DDR3 Usage</t>
  </si>
  <si>
    <t>DDR4 Usage</t>
  </si>
  <si>
    <t>CHIP0</t>
  </si>
  <si>
    <t>CHIP1</t>
  </si>
  <si>
    <t>CHIP2</t>
  </si>
  <si>
    <t>CHIP3</t>
  </si>
  <si>
    <t>Display0
(fb0~fb2)</t>
  </si>
  <si>
    <t>Enable</t>
  </si>
  <si>
    <t>Liveview Type</t>
  </si>
  <si>
    <t>(fb0)Video format</t>
  </si>
  <si>
    <t>(fb0)Video width</t>
  </si>
  <si>
    <t>(fb0)Video height</t>
  </si>
  <si>
    <t>(fb0)Video buffers</t>
  </si>
  <si>
    <t>(fb1)GUI format</t>
  </si>
  <si>
    <t xml:space="preserve">(fb1)GUI width </t>
  </si>
  <si>
    <t>(fb1)GUI height</t>
  </si>
  <si>
    <t>(fb1)RLE enable</t>
  </si>
  <si>
    <t>(fb2)2bits enable</t>
  </si>
  <si>
    <t>Capture buffers</t>
  </si>
  <si>
    <t>Capture format</t>
  </si>
  <si>
    <t>Deinterlace Support</t>
  </si>
  <si>
    <t>Deinterlace buffers</t>
  </si>
  <si>
    <t>Display1
(fb3~fb5)</t>
  </si>
  <si>
    <t>Display2
(fb6~fb8)</t>
  </si>
  <si>
    <t>Decode 1</t>
  </si>
  <si>
    <t>Channels</t>
  </si>
  <si>
    <t>Video width</t>
  </si>
  <si>
    <t>Video height</t>
  </si>
  <si>
    <t>YUV Buf Count</t>
  </si>
  <si>
    <t>Max Bitrate/Kbps</t>
  </si>
  <si>
    <t>Max Bitrate/Mbps</t>
  </si>
  <si>
    <t>Min Compression</t>
  </si>
  <si>
    <t>Extra Write (1/N)</t>
  </si>
  <si>
    <t>Bitstream Count</t>
  </si>
  <si>
    <t>(Tile)Max width</t>
  </si>
  <si>
    <t>(Tile) Max width</t>
  </si>
  <si>
    <t>(Tile)Max height</t>
  </si>
  <si>
    <t>(Tile) Max height</t>
  </si>
  <si>
    <t>Decode 2</t>
  </si>
  <si>
    <t>Encode DI</t>
  </si>
  <si>
    <t>Main Encode 1</t>
  </si>
  <si>
    <t>YUV Buf format</t>
  </si>
  <si>
    <t>Reference Number</t>
  </si>
  <si>
    <t>Reference max width</t>
  </si>
  <si>
    <t>Reference max height</t>
  </si>
  <si>
    <t>TMNR support</t>
  </si>
  <si>
    <t>Main Encode 2</t>
  </si>
  <si>
    <t>Substream Encode</t>
  </si>
  <si>
    <t>Encode Scaler</t>
  </si>
  <si>
    <t>YUV Buf count</t>
  </si>
  <si>
    <t>Display Encode</t>
  </si>
  <si>
    <t>Audio
Record</t>
  </si>
  <si>
    <t>Sample rate(Hz)</t>
  </si>
  <si>
    <t>Tracks(mono,stereo)</t>
  </si>
  <si>
    <t>Sample width</t>
  </si>
  <si>
    <t>Frame samples</t>
  </si>
  <si>
    <t>Buf count</t>
  </si>
  <si>
    <t>Audio
Playback</t>
  </si>
  <si>
    <t>CNN</t>
  </si>
  <si>
    <t>CNN buffers (MB)</t>
  </si>
  <si>
    <t>OSG</t>
  </si>
  <si>
    <t>OSG buffers (MB)</t>
  </si>
  <si>
    <t>User AP</t>
  </si>
  <si>
    <t>USER_BLK buffers (MB)</t>
  </si>
  <si>
    <t>nvt-na51068-mem-tbl.dtsi (32x)</t>
  </si>
  <si>
    <r>
      <rPr>
        <b/>
        <sz val="11"/>
        <rFont val="新細明體"/>
        <charset val="136"/>
      </rPr>
      <t xml:space="preserve">
nvt-na51039-basic.dtsi (31x)</t>
    </r>
    <r>
      <rPr>
        <sz val="11"/>
        <rFont val="新細明體"/>
        <charset val="136"/>
      </rPr>
      <t xml:space="preserve">==&gt;Update it
</t>
    </r>
  </si>
  <si>
    <r>
      <rPr>
        <b/>
        <sz val="11"/>
        <rFont val="新細明體"/>
        <charset val="136"/>
      </rPr>
      <t xml:space="preserve">  ep-na51039-basic.dtsi </t>
    </r>
    <r>
      <rPr>
        <sz val="11"/>
        <rFont val="新細明體"/>
        <charset val="136"/>
      </rPr>
      <t xml:space="preserve">  ==&gt;  Update it</t>
    </r>
  </si>
  <si>
    <r>
      <rPr>
        <b/>
        <sz val="11"/>
        <rFont val="新細明體"/>
        <charset val="136"/>
      </rPr>
      <t xml:space="preserve">  ep-na51039-basic.dtsi</t>
    </r>
    <r>
      <rPr>
        <sz val="11"/>
        <rFont val="新細明體"/>
        <charset val="136"/>
      </rPr>
      <t xml:space="preserve">  ==&gt;  Update it</t>
    </r>
  </si>
  <si>
    <r>
      <rPr>
        <sz val="11"/>
        <color rgb="FF0000FF"/>
        <rFont val="新細明體"/>
        <charset val="136"/>
      </rPr>
      <t xml:space="preserve">                        hdal-memory {
                                  media {   reg = &lt;</t>
    </r>
    <r>
      <rPr>
        <b/>
        <sz val="11"/>
        <color rgb="FF0000FF"/>
        <rFont val="新細明體"/>
        <charset val="136"/>
      </rPr>
      <t>2</t>
    </r>
    <r>
      <rPr>
        <sz val="11"/>
        <color rgb="FF0000FF"/>
        <rFont val="新細明體"/>
        <charset val="136"/>
      </rPr>
      <t xml:space="preserve"> 0x...... </t>
    </r>
  </si>
  <si>
    <r>
      <rPr>
        <sz val="11"/>
        <color rgb="FF0000FF"/>
        <rFont val="新細明體"/>
        <charset val="136"/>
      </rPr>
      <t xml:space="preserve">                        hdal-memory {
                                  media {   reg = &lt;</t>
    </r>
    <r>
      <rPr>
        <b/>
        <sz val="11"/>
        <color rgb="FF0000FF"/>
        <rFont val="新細明體"/>
        <charset val="136"/>
      </rPr>
      <t>3</t>
    </r>
    <r>
      <rPr>
        <sz val="11"/>
        <color rgb="FF0000FF"/>
        <rFont val="新細明體"/>
        <charset val="136"/>
      </rPr>
      <t xml:space="preserve"> 0x...... 
                                                reg = &lt;</t>
    </r>
    <r>
      <rPr>
        <b/>
        <sz val="11"/>
        <color rgb="FF0000FF"/>
        <rFont val="新細明體"/>
        <charset val="136"/>
      </rPr>
      <t>4</t>
    </r>
    <r>
      <rPr>
        <sz val="11"/>
        <color rgb="FF0000FF"/>
        <rFont val="新細明體"/>
        <charset val="136"/>
      </rPr>
      <t xml:space="preserve"> 0x...... </t>
    </r>
  </si>
  <si>
    <t>&gt;</t>
  </si>
  <si>
    <r>
      <rPr>
        <b/>
        <sz val="12"/>
        <rFont val="新細明體"/>
        <charset val="136"/>
      </rPr>
      <t xml:space="preserve">vg_boot.sh </t>
    </r>
    <r>
      <rPr>
        <sz val="12"/>
        <rFont val="新細明體"/>
        <charset val="136"/>
      </rPr>
      <t xml:space="preserve"> ==&gt; Update</t>
    </r>
    <r>
      <rPr>
        <b/>
        <sz val="12"/>
        <rFont val="新細明體"/>
        <charset val="136"/>
      </rPr>
      <t xml:space="preserve"> </t>
    </r>
    <r>
      <rPr>
        <sz val="12"/>
        <rFont val="新細明體"/>
        <charset val="136"/>
      </rPr>
      <t>it</t>
    </r>
  </si>
  <si>
    <t>Encode channels</t>
  </si>
  <si>
    <t>Decode channels</t>
  </si>
  <si>
    <t>Single trigger</t>
  </si>
  <si>
    <t>Pool Name</t>
  </si>
  <si>
    <t>CHIP0/DDR0</t>
  </si>
  <si>
    <t>CHIP1/DDR2</t>
  </si>
  <si>
    <t>CHIP2/DDR3</t>
  </si>
  <si>
    <t>CHIP3/DDR4</t>
  </si>
  <si>
    <t>Buf Size</t>
  </si>
  <si>
    <t>Count</t>
  </si>
  <si>
    <t>Total</t>
  </si>
  <si>
    <t>HD_COMMON_MEM_COMMON_POOL</t>
  </si>
  <si>
    <t>HD_COMMON_MEM_DISP_DEC_IN_POOL</t>
  </si>
  <si>
    <t>HD_COMMON_MEM_DISP_DEC_OUT_POOL</t>
  </si>
  <si>
    <t>HD_COMMON_MEM_DISP_DEC_OUT_RATIO_POOL</t>
  </si>
  <si>
    <t>HD_COMMON_MEM_DEC_TILE_POOL</t>
  </si>
  <si>
    <t>HD_COMMON_MEM_ENC_CAP_OUT_POOL</t>
  </si>
  <si>
    <t>HD_COMMON_MEM_ENC_OUT_POOL</t>
  </si>
  <si>
    <t>HD_COMMON_MEM_ENC_REF_POOL (Encode 1 REF)</t>
  </si>
  <si>
    <t>HD_COMMON_MEM_ENC_REF_POOL (Encode 1 TMNR)</t>
  </si>
  <si>
    <t>HD_COMMON_MEM_ENC_REF_POOL (Encode 2 REF)</t>
  </si>
  <si>
    <t>HD_COMMON_MEM_ENC_REF_POOL (Encode 2 TMNR)</t>
  </si>
  <si>
    <t>HD_COMMON_MEM_ENC_REF_POOL (Substream REF)</t>
  </si>
  <si>
    <t>HD_COMMON_MEM_ENC_REF_POOL (Substream TMNR)</t>
  </si>
  <si>
    <t>HD_COMMON_MEM_ENC_SCL_OUT_POOL</t>
  </si>
  <si>
    <t>HD_COMMON_MEM_DISP0_CAP_OUT_POOL</t>
  </si>
  <si>
    <t>HD_COMMON_MEM_DISP0_IN_POOL</t>
  </si>
  <si>
    <t>HD_COMMON_MEM_DISP0_FB_POOL(FB1+FB2+RLE)</t>
  </si>
  <si>
    <t>HD_COMMON_MEM_DISP1_CAP_OUT_POOL</t>
  </si>
  <si>
    <t>HD_COMMON_MEM_DISP1_IN_POOL</t>
  </si>
  <si>
    <t>HD_COMMON_MEM_DISP1_FB_POOL(FB4+FB5)</t>
  </si>
  <si>
    <t>HD_COMMON_MEM_DISP2_CAP_OUT_POOL</t>
  </si>
  <si>
    <t>HD_COMMON_MEM_DISP2_IN_POOL</t>
  </si>
  <si>
    <t>HD_COMMON_MEM_DISP2_FB_POOL(FB7+FB8)</t>
  </si>
  <si>
    <t>HD_COMMON_MEM_AU_ENC_AU_GRAB_OUT_POOL</t>
  </si>
  <si>
    <t>HD_COMMON_MEM_AU_DEC_AU_RENDER_IN_POOL</t>
  </si>
  <si>
    <t>HD_COMMON_MEM_GLOBAL_MD_POOL</t>
  </si>
  <si>
    <t>HD_COMMON_MEM_TMNR_MOTION_POOL</t>
  </si>
  <si>
    <t>HD_COMMON_MEM_CNN_POOL</t>
  </si>
  <si>
    <t>HD_COMMON_MEM_OSG_POOL</t>
  </si>
  <si>
    <t>HD_COMMON_MEM_USER_BLK</t>
  </si>
  <si>
    <t>HDAL Total Size (KB)</t>
  </si>
  <si>
    <t>Display 0</t>
  </si>
  <si>
    <t>Value</t>
  </si>
  <si>
    <t>Note</t>
  </si>
  <si>
    <t>Display Enable</t>
  </si>
  <si>
    <t>Display0(960H)</t>
  </si>
  <si>
    <t>Video capture input
(liveview)</t>
  </si>
  <si>
    <t>Support</t>
  </si>
  <si>
    <t>De-interlace Support</t>
  </si>
  <si>
    <t>Total width</t>
  </si>
  <si>
    <t>Resolution width</t>
  </si>
  <si>
    <t>Height height</t>
  </si>
  <si>
    <t>Resolution height</t>
  </si>
  <si>
    <t>YUV buffer count</t>
  </si>
  <si>
    <t>Input YUV count</t>
  </si>
  <si>
    <t>YUV Pixel size (bytes)</t>
  </si>
  <si>
    <t>Input YUV pixel size</t>
  </si>
  <si>
    <t>Video frame buffer
(/dev/fb0)</t>
  </si>
  <si>
    <t>Output YUV count</t>
  </si>
  <si>
    <t>Output YUV pixel size</t>
  </si>
  <si>
    <t>DISP0_CAP_OUT_POOL</t>
  </si>
  <si>
    <t>GUI frame buffer
(/dev/fb1)</t>
  </si>
  <si>
    <t>RLE compress ratio</t>
  </si>
  <si>
    <t>Cursor frame buffer (/dev/fb2)</t>
  </si>
  <si>
    <t>2bit mode</t>
  </si>
  <si>
    <t>DISP0_CAP_OUT_POOL(KB)</t>
  </si>
  <si>
    <t>DISP0_IN_POOL/FB0 (KB)</t>
  </si>
  <si>
    <t>DISP0_FB1 (KB)</t>
  </si>
  <si>
    <t>DISP0_FB2 (KB)</t>
  </si>
  <si>
    <t>DISP0_RLE (KB)</t>
  </si>
  <si>
    <t>2 buffers</t>
  </si>
  <si>
    <t>Display 1</t>
  </si>
  <si>
    <t>Display1 (960H)</t>
  </si>
  <si>
    <t>DISP1_CAP_OUT_POOL</t>
  </si>
  <si>
    <t>DISP1_CAP_OUT_POOL(KB)</t>
  </si>
  <si>
    <t>DISP1_IN_POOL/FB0 (KB)</t>
  </si>
  <si>
    <t>DISP1_FB1 (KB)</t>
  </si>
  <si>
    <t>DISP1_FB2 (KB)</t>
  </si>
  <si>
    <t>DISP1_RLE (KB)</t>
  </si>
  <si>
    <t>Display 2</t>
  </si>
  <si>
    <t>Display2 (960H)</t>
  </si>
  <si>
    <t>DISP2_CAP_OUT_POOL</t>
  </si>
  <si>
    <t>DISP2_CAP_OUT_POOL(KB)</t>
  </si>
  <si>
    <t>DISP2_IN_POOL/FB0 (KB)</t>
  </si>
  <si>
    <t>DISP2_FB1 (KB)</t>
  </si>
  <si>
    <t>DISP2_FB2 (KB)</t>
  </si>
  <si>
    <t>DISP2_RLE (KB)</t>
  </si>
  <si>
    <t>Max bitrate Kbytes (25fps)</t>
  </si>
  <si>
    <t>Min Codec Compress ratio</t>
  </si>
  <si>
    <t>Bitstream buffre count</t>
  </si>
  <si>
    <t>Reference number</t>
  </si>
  <si>
    <t>YUV buffer size (enc_cap_out)</t>
  </si>
  <si>
    <t>ENC_CAP_OUT_POOL (KB)</t>
  </si>
  <si>
    <t>ENC_OUT_POOL (KB)</t>
  </si>
  <si>
    <t>Reference Buffer Size (KB)</t>
  </si>
  <si>
    <t>Reference Buffer Count</t>
  </si>
  <si>
    <t>TMNR Buffer Size (KB)</t>
  </si>
  <si>
    <t>TMNR Buffer Count</t>
  </si>
  <si>
    <t>Sub Encode</t>
  </si>
  <si>
    <t>YUV buffer size (enc_scl_out)</t>
  </si>
  <si>
    <t>ENC_SCL_OUT_POOL (KB)</t>
  </si>
  <si>
    <t>960H Support</t>
  </si>
  <si>
    <t>Per CH</t>
  </si>
  <si>
    <t>Min codec compress Ratio</t>
  </si>
  <si>
    <t>Bitstream buffer count</t>
  </si>
  <si>
    <t>decode ratio frame</t>
  </si>
  <si>
    <t>1/4 yuv</t>
  </si>
  <si>
    <t>Decode MB info + BS info</t>
  </si>
  <si>
    <t>Decode buf size (YUV)</t>
  </si>
  <si>
    <t>Max bitstream size</t>
  </si>
  <si>
    <t>Tile max width</t>
  </si>
  <si>
    <t>Tile max height</t>
  </si>
  <si>
    <t>Tile Max bitstream size</t>
  </si>
  <si>
    <t>DEC_IN_POOL (KB)</t>
  </si>
  <si>
    <t>DEC_OUT_POOL (KB)</t>
  </si>
  <si>
    <t>DEC_OUT_RATIO_POOL (KB)</t>
  </si>
  <si>
    <t>Audio Encode</t>
  </si>
  <si>
    <t>Tracks</t>
  </si>
  <si>
    <t>Sample width(bits)</t>
  </si>
  <si>
    <t>Dual type</t>
  </si>
  <si>
    <t>Frame buffer count</t>
  </si>
  <si>
    <t>AU_ENC_AU_GRAB_OUT_POOL (KB)</t>
  </si>
  <si>
    <t>Audio Decode</t>
  </si>
  <si>
    <t>AU_DEC_AU_RENDER_IN_POOL (KB)</t>
  </si>
  <si>
    <t>Display Encode Parameters</t>
  </si>
  <si>
    <t>Max bitrate</t>
  </si>
  <si>
    <t>YUV pixel size (bytes)</t>
  </si>
  <si>
    <t>Min codec compress ratio</t>
  </si>
  <si>
    <t>Reference buffer number</t>
  </si>
  <si>
    <t>Motion Detection</t>
  </si>
  <si>
    <t>Max width</t>
  </si>
  <si>
    <t>Max height</t>
  </si>
  <si>
    <t>mb_size</t>
  </si>
  <si>
    <t>sta buffer (KB)</t>
  </si>
  <si>
    <t>evt buf + level buf</t>
  </si>
  <si>
    <t>MD buffer size (KB)</t>
  </si>
  <si>
    <t>1k header</t>
  </si>
  <si>
    <t>MD buffer count</t>
  </si>
  <si>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</si>
  <si>
    <t>Liveview</t>
  </si>
  <si>
    <t>Playback</t>
  </si>
  <si>
    <t>Encode</t>
  </si>
  <si>
    <t>Audio</t>
  </si>
  <si>
    <t>videocapture</t>
  </si>
  <si>
    <t>DISPx_DEC_IN</t>
  </si>
  <si>
    <t>DISPx_IN</t>
  </si>
  <si>
    <t>audiocapture</t>
  </si>
  <si>
    <t>↓</t>
  </si>
  <si>
    <t>DISPx_CAP_OUT</t>
  </si>
  <si>
    <t>ENC_CAP_OUT</t>
  </si>
  <si>
    <t>AU_ENC_AU_GRAB_OUT</t>
  </si>
  <si>
    <t>videodec</t>
  </si>
  <si>
    <t>videoprocess</t>
  </si>
  <si>
    <t>DISPx_DEC_OUT</t>
  </si>
  <si>
    <t>videoenc</t>
  </si>
  <si>
    <t>ENC_SCL_OUT</t>
  </si>
  <si>
    <t>audioenc</t>
  </si>
  <si>
    <t>ENC_OUT</t>
  </si>
  <si>
    <t>audiodec</t>
  </si>
  <si>
    <t>videoout</t>
  </si>
  <si>
    <t>AU_DEC_AU_RENDER_IN</t>
  </si>
  <si>
    <t>audioout</t>
  </si>
</sst>
</file>

<file path=xl/styles.xml><?xml version="1.0" encoding="utf-8"?>
<styleSheet xmlns="http://schemas.openxmlformats.org/spreadsheetml/2006/main">
  <numFmts count="5">
    <numFmt numFmtId="44" formatCode="_ &quot;￥&quot;* #,##0.00_ ;_ &quot;￥&quot;* \-#,##0.00_ ;_ &quot;￥&quot;* &quot;-&quot;??_ ;_ @_ "/>
    <numFmt numFmtId="43" formatCode="_ * #,##0.00_ ;_ * \-#,##0.00_ ;_ * &quot;-&quot;??_ ;_ @_ "/>
    <numFmt numFmtId="41" formatCode="_ * #,##0_ ;_ * \-#,##0_ ;_ * &quot;-&quot;_ ;_ @_ "/>
    <numFmt numFmtId="42" formatCode="_ &quot;￥&quot;* #,##0_ ;_ &quot;￥&quot;* \-#,##0_ ;_ &quot;￥&quot;* &quot;-&quot;_ ;_ @_ "/>
    <numFmt numFmtId="176" formatCode="0;[Red]0"/>
  </numFmts>
  <fonts count="45">
    <font>
      <sz val="12"/>
      <name val="新細明體"/>
      <charset val="136"/>
    </font>
    <font>
      <b/>
      <sz val="12"/>
      <color rgb="FFFFFF00"/>
      <name val="新細明體"/>
      <charset val="136"/>
    </font>
    <font>
      <sz val="12"/>
      <color theme="0"/>
      <name val="新細明體"/>
      <charset val="136"/>
    </font>
    <font>
      <b/>
      <sz val="12"/>
      <color rgb="FFFFFF00"/>
      <name val="Courier New"/>
      <charset val="134"/>
    </font>
    <font>
      <b/>
      <sz val="12"/>
      <color indexed="9"/>
      <name val="Courier New"/>
      <charset val="134"/>
    </font>
    <font>
      <b/>
      <sz val="12"/>
      <color theme="0"/>
      <name val="Courier New"/>
      <charset val="134"/>
    </font>
    <font>
      <sz val="12"/>
      <name val="Courier New"/>
      <charset val="134"/>
    </font>
    <font>
      <b/>
      <sz val="16"/>
      <color theme="0"/>
      <name val="Courier New"/>
      <charset val="134"/>
    </font>
    <font>
      <sz val="12"/>
      <color rgb="FFFFFF00"/>
      <name val="新細明體"/>
      <charset val="136"/>
    </font>
    <font>
      <b/>
      <sz val="12"/>
      <name val="新細明體"/>
      <charset val="136"/>
    </font>
    <font>
      <sz val="12"/>
      <color theme="0" tint="-0.0499893185216834"/>
      <name val="新細明體"/>
      <charset val="136"/>
    </font>
    <font>
      <b/>
      <sz val="12"/>
      <color rgb="FFFF0000"/>
      <name val="Courier New"/>
      <charset val="134"/>
    </font>
    <font>
      <sz val="16"/>
      <name val="新細明體"/>
      <charset val="136"/>
    </font>
    <font>
      <b/>
      <sz val="14"/>
      <name val="新細明體"/>
      <charset val="136"/>
    </font>
    <font>
      <b/>
      <sz val="12"/>
      <color rgb="FF0033CC"/>
      <name val="新細明體"/>
      <charset val="136"/>
    </font>
    <font>
      <b/>
      <sz val="12"/>
      <name val="Courier New"/>
      <charset val="134"/>
    </font>
    <font>
      <sz val="11"/>
      <name val="Courier New"/>
      <charset val="134"/>
    </font>
    <font>
      <b/>
      <sz val="11"/>
      <name val="新細明體"/>
      <charset val="136"/>
    </font>
    <font>
      <sz val="11"/>
      <name val="新細明體"/>
      <charset val="136"/>
    </font>
    <font>
      <sz val="11"/>
      <color rgb="FF0000FF"/>
      <name val="新細明體"/>
      <charset val="136"/>
    </font>
    <font>
      <sz val="12"/>
      <color rgb="FF0000FF"/>
      <name val="新細明體"/>
      <charset val="136"/>
    </font>
    <font>
      <b/>
      <sz val="9"/>
      <color rgb="FF0000FF"/>
      <name val="新細明體"/>
      <charset val="136"/>
    </font>
    <font>
      <sz val="10"/>
      <color rgb="FF0000FF"/>
      <name val="新細明體"/>
      <charset val="136"/>
    </font>
    <font>
      <sz val="12"/>
      <color theme="0" tint="-0.349986266670736"/>
      <name val="新細明體"/>
      <charset val="136"/>
    </font>
    <font>
      <b/>
      <sz val="18"/>
      <color theme="3"/>
      <name val="宋体"/>
      <charset val="134"/>
      <scheme val="minor"/>
    </font>
    <font>
      <sz val="11"/>
      <color theme="1"/>
      <name val="宋体"/>
      <charset val="134"/>
      <scheme val="minor"/>
    </font>
    <font>
      <sz val="11"/>
      <color theme="1"/>
      <name val="宋体"/>
      <charset val="0"/>
      <scheme val="minor"/>
    </font>
    <font>
      <sz val="11"/>
      <color theme="0"/>
      <name val="宋体"/>
      <charset val="0"/>
      <scheme val="minor"/>
    </font>
    <font>
      <sz val="11"/>
      <color rgb="FF9C0006"/>
      <name val="宋体"/>
      <charset val="0"/>
      <scheme val="minor"/>
    </font>
    <font>
      <b/>
      <sz val="11"/>
      <color rgb="FF3F3F3F"/>
      <name val="宋体"/>
      <charset val="0"/>
      <scheme val="minor"/>
    </font>
    <font>
      <sz val="11"/>
      <color rgb="FF3F3F76"/>
      <name val="宋体"/>
      <charset val="0"/>
      <scheme val="minor"/>
    </font>
    <font>
      <sz val="11"/>
      <color rgb="FF9C6500"/>
      <name val="宋体"/>
      <charset val="0"/>
      <scheme val="minor"/>
    </font>
    <font>
      <b/>
      <sz val="15"/>
      <color theme="3"/>
      <name val="宋体"/>
      <charset val="134"/>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i/>
      <sz val="11"/>
      <color rgb="FF7F7F7F"/>
      <name val="宋体"/>
      <charset val="0"/>
      <scheme val="minor"/>
    </font>
    <font>
      <b/>
      <sz val="11"/>
      <color rgb="FFFA7D00"/>
      <name val="宋体"/>
      <charset val="0"/>
      <scheme val="minor"/>
    </font>
    <font>
      <b/>
      <sz val="13"/>
      <color theme="3"/>
      <name val="宋体"/>
      <charset val="134"/>
      <scheme val="minor"/>
    </font>
    <font>
      <b/>
      <sz val="11"/>
      <color theme="1"/>
      <name val="宋体"/>
      <charset val="0"/>
      <scheme val="minor"/>
    </font>
    <font>
      <b/>
      <sz val="11"/>
      <color rgb="FFFFFFFF"/>
      <name val="宋体"/>
      <charset val="0"/>
      <scheme val="minor"/>
    </font>
    <font>
      <sz val="11"/>
      <color rgb="FFFA7D00"/>
      <name val="宋体"/>
      <charset val="0"/>
      <scheme val="minor"/>
    </font>
    <font>
      <sz val="11"/>
      <color rgb="FF006100"/>
      <name val="宋体"/>
      <charset val="0"/>
      <scheme val="minor"/>
    </font>
    <font>
      <b/>
      <sz val="11"/>
      <color rgb="FF0000FF"/>
      <name val="新細明體"/>
      <charset val="136"/>
    </font>
  </fonts>
  <fills count="42">
    <fill>
      <patternFill patternType="none"/>
    </fill>
    <fill>
      <patternFill patternType="gray125"/>
    </fill>
    <fill>
      <patternFill patternType="solid">
        <fgColor theme="2" tint="-0.499984740745262"/>
        <bgColor indexed="64"/>
      </patternFill>
    </fill>
    <fill>
      <patternFill patternType="solid">
        <fgColor theme="0" tint="-0.349986266670736"/>
        <bgColor indexed="64"/>
      </patternFill>
    </fill>
    <fill>
      <patternFill patternType="solid">
        <fgColor rgb="FFFF0000"/>
        <bgColor indexed="64"/>
      </patternFill>
    </fill>
    <fill>
      <patternFill patternType="solid">
        <fgColor rgb="FF3366FF"/>
        <bgColor indexed="64"/>
      </patternFill>
    </fill>
    <fill>
      <patternFill patternType="solid">
        <fgColor theme="0"/>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theme="0" tint="-0.149998474074526"/>
        <bgColor indexed="64"/>
      </patternFill>
    </fill>
    <fill>
      <patternFill patternType="solid">
        <fgColor theme="0" tint="-0.0499893185216834"/>
        <bgColor indexed="64"/>
      </patternFill>
    </fill>
    <fill>
      <patternFill patternType="solid">
        <fgColor rgb="FF92D050"/>
        <bgColor indexed="64"/>
      </patternFill>
    </fill>
    <fill>
      <patternFill patternType="solid">
        <fgColor theme="4"/>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rgb="FF93F1D2"/>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5"/>
        <bgColor indexed="64"/>
      </patternFill>
    </fill>
    <fill>
      <patternFill patternType="solid">
        <fgColor rgb="FFFFC7CE"/>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rgb="FFF2F2F2"/>
        <bgColor indexed="64"/>
      </patternFill>
    </fill>
    <fill>
      <patternFill patternType="solid">
        <fgColor rgb="FFFFCC99"/>
        <bgColor indexed="64"/>
      </patternFill>
    </fill>
    <fill>
      <patternFill patternType="solid">
        <fgColor rgb="FFFFEB9C"/>
        <bgColor indexed="64"/>
      </patternFill>
    </fill>
    <fill>
      <patternFill patternType="solid">
        <fgColor theme="6" tint="0.399975585192419"/>
        <bgColor indexed="64"/>
      </patternFill>
    </fill>
    <fill>
      <patternFill patternType="solid">
        <fgColor rgb="FFFFFFCC"/>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rgb="FFA5A5A5"/>
        <bgColor indexed="64"/>
      </patternFill>
    </fill>
    <fill>
      <patternFill patternType="solid">
        <fgColor rgb="FFC6EFCE"/>
        <bgColor indexed="64"/>
      </patternFill>
    </fill>
    <fill>
      <patternFill patternType="solid">
        <fgColor theme="8" tint="0.399975585192419"/>
        <bgColor indexed="64"/>
      </patternFill>
    </fill>
    <fill>
      <patternFill patternType="solid">
        <fgColor theme="6"/>
        <bgColor indexed="64"/>
      </patternFill>
    </fill>
    <fill>
      <patternFill patternType="solid">
        <fgColor theme="4" tint="0.799981688894314"/>
        <bgColor indexed="64"/>
      </patternFill>
    </fill>
  </fills>
  <borders count="5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style="thin">
        <color indexed="0"/>
      </left>
      <right/>
      <top style="thin">
        <color indexed="0"/>
      </top>
      <bottom style="thin">
        <color indexed="0"/>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style="thin">
        <color auto="1"/>
      </left>
      <right/>
      <top style="thin">
        <color auto="1"/>
      </top>
      <bottom style="thin">
        <color auto="1"/>
      </bottom>
      <diagonal/>
    </border>
    <border>
      <left style="thin">
        <color indexed="0"/>
      </left>
      <right/>
      <top style="thin">
        <color indexed="0"/>
      </top>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right/>
      <top/>
      <bottom style="thin">
        <color auto="1"/>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medium">
        <color auto="1"/>
      </right>
      <top style="medium">
        <color auto="1"/>
      </top>
      <bottom style="medium">
        <color auto="1"/>
      </bottom>
      <diagonal/>
    </border>
    <border>
      <left/>
      <right style="medium">
        <color auto="1"/>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bottom style="medium">
        <color auto="1"/>
      </bottom>
      <diagonal/>
    </border>
    <border>
      <left style="thin">
        <color auto="1"/>
      </left>
      <right style="medium">
        <color auto="1"/>
      </right>
      <top/>
      <bottom style="thin">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alignment vertical="center"/>
    </xf>
    <xf numFmtId="42" fontId="25" fillId="0" borderId="0" applyFont="0" applyFill="0" applyBorder="0" applyAlignment="0" applyProtection="0">
      <alignment vertical="center"/>
    </xf>
    <xf numFmtId="0" fontId="26" fillId="25" borderId="0" applyNumberFormat="0" applyBorder="0" applyAlignment="0" applyProtection="0">
      <alignment vertical="center"/>
    </xf>
    <xf numFmtId="0" fontId="30" fillId="27" borderId="52" applyNumberFormat="0" applyAlignment="0" applyProtection="0">
      <alignment vertical="center"/>
    </xf>
    <xf numFmtId="44" fontId="25" fillId="0" borderId="0" applyFont="0" applyFill="0" applyBorder="0" applyAlignment="0" applyProtection="0">
      <alignment vertical="center"/>
    </xf>
    <xf numFmtId="41" fontId="25" fillId="0" borderId="0" applyFont="0" applyFill="0" applyBorder="0" applyAlignment="0" applyProtection="0">
      <alignment vertical="center"/>
    </xf>
    <xf numFmtId="0" fontId="26" fillId="17" borderId="0" applyNumberFormat="0" applyBorder="0" applyAlignment="0" applyProtection="0">
      <alignment vertical="center"/>
    </xf>
    <xf numFmtId="0" fontId="28" fillId="20" borderId="0" applyNumberFormat="0" applyBorder="0" applyAlignment="0" applyProtection="0">
      <alignment vertical="center"/>
    </xf>
    <xf numFmtId="43" fontId="25" fillId="0" borderId="0" applyFont="0" applyFill="0" applyBorder="0" applyAlignment="0" applyProtection="0">
      <alignment vertical="center"/>
    </xf>
    <xf numFmtId="0" fontId="27" fillId="29" borderId="0" applyNumberFormat="0" applyBorder="0" applyAlignment="0" applyProtection="0">
      <alignment vertical="center"/>
    </xf>
    <xf numFmtId="0" fontId="33" fillId="0" borderId="0" applyNumberFormat="0" applyFill="0" applyBorder="0" applyAlignment="0" applyProtection="0">
      <alignment vertical="center"/>
    </xf>
    <xf numFmtId="9" fontId="25" fillId="0" borderId="0" applyFont="0" applyFill="0" applyBorder="0" applyAlignment="0" applyProtection="0">
      <alignment vertical="center"/>
    </xf>
    <xf numFmtId="0" fontId="34" fillId="0" borderId="0" applyNumberFormat="0" applyFill="0" applyBorder="0" applyAlignment="0" applyProtection="0">
      <alignment vertical="center"/>
    </xf>
    <xf numFmtId="0" fontId="25" fillId="30" borderId="54" applyNumberFormat="0" applyFont="0" applyAlignment="0" applyProtection="0">
      <alignment vertical="center"/>
    </xf>
    <xf numFmtId="0" fontId="27" fillId="24" borderId="0" applyNumberFormat="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2" fillId="0" borderId="53" applyNumberFormat="0" applyFill="0" applyAlignment="0" applyProtection="0">
      <alignment vertical="center"/>
    </xf>
    <xf numFmtId="0" fontId="39" fillId="0" borderId="53" applyNumberFormat="0" applyFill="0" applyAlignment="0" applyProtection="0">
      <alignment vertical="center"/>
    </xf>
    <xf numFmtId="0" fontId="27" fillId="21" borderId="0" applyNumberFormat="0" applyBorder="0" applyAlignment="0" applyProtection="0">
      <alignment vertical="center"/>
    </xf>
    <xf numFmtId="0" fontId="35" fillId="0" borderId="56" applyNumberFormat="0" applyFill="0" applyAlignment="0" applyProtection="0">
      <alignment vertical="center"/>
    </xf>
    <xf numFmtId="0" fontId="27" fillId="36" borderId="0" applyNumberFormat="0" applyBorder="0" applyAlignment="0" applyProtection="0">
      <alignment vertical="center"/>
    </xf>
    <xf numFmtId="0" fontId="29" fillId="26" borderId="51" applyNumberFormat="0" applyAlignment="0" applyProtection="0">
      <alignment vertical="center"/>
    </xf>
    <xf numFmtId="0" fontId="38" fillId="26" borderId="52" applyNumberFormat="0" applyAlignment="0" applyProtection="0">
      <alignment vertical="center"/>
    </xf>
    <xf numFmtId="0" fontId="41" fillId="37" borderId="57" applyNumberFormat="0" applyAlignment="0" applyProtection="0">
      <alignment vertical="center"/>
    </xf>
    <xf numFmtId="0" fontId="26" fillId="35" borderId="0" applyNumberFormat="0" applyBorder="0" applyAlignment="0" applyProtection="0">
      <alignment vertical="center"/>
    </xf>
    <xf numFmtId="0" fontId="27" fillId="19" borderId="0" applyNumberFormat="0" applyBorder="0" applyAlignment="0" applyProtection="0">
      <alignment vertical="center"/>
    </xf>
    <xf numFmtId="0" fontId="42" fillId="0" borderId="58" applyNumberFormat="0" applyFill="0" applyAlignment="0" applyProtection="0">
      <alignment vertical="center"/>
    </xf>
    <xf numFmtId="0" fontId="40" fillId="0" borderId="55" applyNumberFormat="0" applyFill="0" applyAlignment="0" applyProtection="0">
      <alignment vertical="center"/>
    </xf>
    <xf numFmtId="0" fontId="43" fillId="38" borderId="0" applyNumberFormat="0" applyBorder="0" applyAlignment="0" applyProtection="0">
      <alignment vertical="center"/>
    </xf>
    <xf numFmtId="0" fontId="31" fillId="28" borderId="0" applyNumberFormat="0" applyBorder="0" applyAlignment="0" applyProtection="0">
      <alignment vertical="center"/>
    </xf>
    <xf numFmtId="0" fontId="26" fillId="16" borderId="0" applyNumberFormat="0" applyBorder="0" applyAlignment="0" applyProtection="0">
      <alignment vertical="center"/>
    </xf>
    <xf numFmtId="0" fontId="27" fillId="12" borderId="0" applyNumberFormat="0" applyBorder="0" applyAlignment="0" applyProtection="0">
      <alignment vertical="center"/>
    </xf>
    <xf numFmtId="0" fontId="26" fillId="41" borderId="0" applyNumberFormat="0" applyBorder="0" applyAlignment="0" applyProtection="0">
      <alignment vertical="center"/>
    </xf>
    <xf numFmtId="0" fontId="26" fillId="14" borderId="0" applyNumberFormat="0" applyBorder="0" applyAlignment="0" applyProtection="0">
      <alignment vertical="center"/>
    </xf>
    <xf numFmtId="0" fontId="26" fillId="34" borderId="0" applyNumberFormat="0" applyBorder="0" applyAlignment="0" applyProtection="0">
      <alignment vertical="center"/>
    </xf>
    <xf numFmtId="0" fontId="26" fillId="7" borderId="0" applyNumberFormat="0" applyBorder="0" applyAlignment="0" applyProtection="0">
      <alignment vertical="center"/>
    </xf>
    <xf numFmtId="0" fontId="27" fillId="40" borderId="0" applyNumberFormat="0" applyBorder="0" applyAlignment="0" applyProtection="0">
      <alignment vertical="center"/>
    </xf>
    <xf numFmtId="0" fontId="27" fillId="33" borderId="0" applyNumberFormat="0" applyBorder="0" applyAlignment="0" applyProtection="0">
      <alignment vertical="center"/>
    </xf>
    <xf numFmtId="0" fontId="26" fillId="23" borderId="0" applyNumberFormat="0" applyBorder="0" applyAlignment="0" applyProtection="0">
      <alignment vertical="center"/>
    </xf>
    <xf numFmtId="0" fontId="26" fillId="18" borderId="0" applyNumberFormat="0" applyBorder="0" applyAlignment="0" applyProtection="0">
      <alignment vertical="center"/>
    </xf>
    <xf numFmtId="0" fontId="27" fillId="32" borderId="0" applyNumberFormat="0" applyBorder="0" applyAlignment="0" applyProtection="0">
      <alignment vertical="center"/>
    </xf>
    <xf numFmtId="0" fontId="26" fillId="22" borderId="0" applyNumberFormat="0" applyBorder="0" applyAlignment="0" applyProtection="0">
      <alignment vertical="center"/>
    </xf>
    <xf numFmtId="0" fontId="27" fillId="39" borderId="0" applyNumberFormat="0" applyBorder="0" applyAlignment="0" applyProtection="0">
      <alignment vertical="center"/>
    </xf>
    <xf numFmtId="0" fontId="27" fillId="31" borderId="0" applyNumberFormat="0" applyBorder="0" applyAlignment="0" applyProtection="0">
      <alignment vertical="center"/>
    </xf>
    <xf numFmtId="0" fontId="26" fillId="13" borderId="0" applyNumberFormat="0" applyBorder="0" applyAlignment="0" applyProtection="0">
      <alignment vertical="center"/>
    </xf>
    <xf numFmtId="0" fontId="27" fillId="8" borderId="0" applyNumberFormat="0" applyBorder="0" applyAlignment="0" applyProtection="0">
      <alignment vertical="center"/>
    </xf>
  </cellStyleXfs>
  <cellXfs count="220">
    <xf numFmtId="0" fontId="0" fillId="0" borderId="0" xfId="0">
      <alignment vertical="center"/>
    </xf>
    <xf numFmtId="0" fontId="1" fillId="2" borderId="0" xfId="0" applyFont="1" applyFill="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2" fillId="3" borderId="1" xfId="0" applyFont="1" applyFill="1" applyBorder="1" applyAlignment="1">
      <alignment horizontal="center" vertical="center"/>
    </xf>
    <xf numFmtId="0" fontId="2" fillId="3" borderId="0" xfId="0" applyFont="1" applyFill="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3" fillId="4" borderId="5" xfId="0" applyFont="1" applyFill="1"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2" fillId="0" borderId="0" xfId="0" applyFont="1" applyFill="1">
      <alignment vertical="center"/>
    </xf>
    <xf numFmtId="0" fontId="4" fillId="5" borderId="6" xfId="0" applyNumberFormat="1" applyFont="1" applyFill="1" applyBorder="1" applyAlignment="1" applyProtection="1">
      <alignment horizontal="center" vertical="center" wrapText="1"/>
    </xf>
    <xf numFmtId="0" fontId="5" fillId="5" borderId="1" xfId="0" applyFont="1" applyFill="1" applyBorder="1" applyAlignment="1">
      <alignment horizontal="center" vertical="center"/>
    </xf>
    <xf numFmtId="0" fontId="0" fillId="0" borderId="1" xfId="0" applyBorder="1" applyAlignment="1">
      <alignment horizontal="right" vertical="center"/>
    </xf>
    <xf numFmtId="0" fontId="0" fillId="0" borderId="1" xfId="0" applyBorder="1">
      <alignment vertical="center"/>
    </xf>
    <xf numFmtId="0" fontId="0" fillId="6" borderId="1" xfId="0" applyFont="1" applyFill="1" applyBorder="1" applyAlignment="1">
      <alignment horizontal="right" vertical="center"/>
    </xf>
    <xf numFmtId="0" fontId="0" fillId="7" borderId="1" xfId="0" applyFont="1" applyFill="1" applyBorder="1" applyAlignment="1">
      <alignment horizontal="right" vertical="center"/>
    </xf>
    <xf numFmtId="0" fontId="0" fillId="0" borderId="0" xfId="0" applyAlignment="1">
      <alignment vertical="center" wrapText="1"/>
    </xf>
    <xf numFmtId="0" fontId="4" fillId="5" borderId="7" xfId="0" applyNumberFormat="1" applyFont="1" applyFill="1" applyBorder="1" applyAlignment="1" applyProtection="1">
      <alignment horizontal="center" vertical="center" wrapText="1"/>
    </xf>
    <xf numFmtId="0" fontId="4" fillId="5" borderId="8" xfId="0" applyNumberFormat="1" applyFont="1" applyFill="1" applyBorder="1" applyAlignment="1" applyProtection="1">
      <alignment horizontal="center" vertical="center" wrapText="1"/>
    </xf>
    <xf numFmtId="0" fontId="0" fillId="0" borderId="1" xfId="0" applyFont="1" applyBorder="1" applyAlignment="1">
      <alignment horizontal="right" vertical="center"/>
    </xf>
    <xf numFmtId="0" fontId="0" fillId="0" borderId="1" xfId="0" applyFont="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9" xfId="0" applyBorder="1" applyAlignment="1">
      <alignment horizontal="right" vertical="center"/>
    </xf>
    <xf numFmtId="0" fontId="0" fillId="0" borderId="1" xfId="0" applyFont="1" applyFill="1" applyBorder="1" applyAlignment="1">
      <alignment horizontal="center" vertical="center"/>
    </xf>
    <xf numFmtId="0" fontId="0" fillId="7" borderId="9" xfId="0" applyFont="1" applyFill="1" applyBorder="1" applyAlignment="1">
      <alignment horizontal="right" vertical="center"/>
    </xf>
    <xf numFmtId="0" fontId="0" fillId="0" borderId="0" xfId="0" applyAlignment="1">
      <alignment horizontal="right" vertical="center"/>
    </xf>
    <xf numFmtId="0" fontId="0" fillId="0" borderId="1" xfId="0" applyFill="1" applyBorder="1">
      <alignment vertical="center"/>
    </xf>
    <xf numFmtId="0" fontId="4" fillId="5" borderId="10" xfId="0" applyNumberFormat="1" applyFont="1" applyFill="1" applyBorder="1" applyAlignment="1" applyProtection="1">
      <alignment horizontal="center" vertical="center" wrapText="1"/>
    </xf>
    <xf numFmtId="0" fontId="5" fillId="5" borderId="2" xfId="0" applyFont="1" applyFill="1" applyBorder="1" applyAlignment="1">
      <alignment horizontal="center" vertical="center"/>
    </xf>
    <xf numFmtId="0" fontId="0" fillId="0" borderId="1" xfId="0" applyFont="1" applyFill="1" applyBorder="1" applyAlignment="1">
      <alignment horizontal="right" vertical="center"/>
    </xf>
    <xf numFmtId="0" fontId="0" fillId="0" borderId="1" xfId="0" applyBorder="1" applyAlignment="1">
      <alignment vertical="center" wrapText="1"/>
    </xf>
    <xf numFmtId="49" fontId="0" fillId="0" borderId="1" xfId="0" applyNumberFormat="1" applyBorder="1" applyAlignment="1">
      <alignment horizontal="center" vertical="center" wrapText="1"/>
    </xf>
    <xf numFmtId="0" fontId="2" fillId="0" borderId="0" xfId="0" applyFont="1" applyFill="1" applyAlignment="1">
      <alignment horizontal="center" vertical="center"/>
    </xf>
    <xf numFmtId="0" fontId="3" fillId="0" borderId="1"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0" fillId="0" borderId="9" xfId="0" applyFont="1" applyBorder="1" applyAlignment="1">
      <alignment horizontal="right" vertical="center"/>
    </xf>
    <xf numFmtId="0" fontId="0" fillId="0" borderId="1" xfId="0" applyBorder="1" applyAlignment="1">
      <alignment horizontal="center" vertical="center" wrapText="1"/>
    </xf>
    <xf numFmtId="0" fontId="6" fillId="0" borderId="0" xfId="0" applyFont="1" applyFill="1" applyAlignment="1">
      <alignment vertical="center" wrapText="1"/>
    </xf>
    <xf numFmtId="0" fontId="6" fillId="0" borderId="0" xfId="0" applyFont="1" applyAlignment="1">
      <alignment vertical="center" wrapText="1"/>
    </xf>
    <xf numFmtId="0" fontId="0" fillId="0" borderId="0" xfId="0" applyFont="1" applyFill="1" applyBorder="1" applyAlignment="1">
      <alignment horizontal="right" vertical="center"/>
    </xf>
    <xf numFmtId="0" fontId="0" fillId="0" borderId="0" xfId="0" applyBorder="1" applyAlignment="1">
      <alignment horizontal="center" vertical="center"/>
    </xf>
    <xf numFmtId="0" fontId="0" fillId="0" borderId="0" xfId="0" applyBorder="1">
      <alignment vertical="center"/>
    </xf>
    <xf numFmtId="0" fontId="5" fillId="5" borderId="11" xfId="0" applyFont="1" applyFill="1" applyBorder="1" applyAlignment="1">
      <alignment horizontal="center" vertical="center"/>
    </xf>
    <xf numFmtId="0" fontId="0" fillId="0" borderId="12" xfId="0" applyBorder="1" applyAlignment="1">
      <alignment horizontal="center" vertical="center"/>
    </xf>
    <xf numFmtId="0" fontId="5" fillId="5" borderId="13" xfId="0" applyFont="1" applyFill="1" applyBorder="1" applyAlignment="1">
      <alignment horizontal="center" vertical="center"/>
    </xf>
    <xf numFmtId="0" fontId="0" fillId="0" borderId="14" xfId="0" applyBorder="1" applyAlignment="1">
      <alignment horizontal="right" vertical="center"/>
    </xf>
    <xf numFmtId="0" fontId="0" fillId="0" borderId="15" xfId="0" applyBorder="1" applyAlignment="1">
      <alignment horizontal="right" vertical="center"/>
    </xf>
    <xf numFmtId="0" fontId="4" fillId="8" borderId="10" xfId="0" applyNumberFormat="1" applyFont="1" applyFill="1" applyBorder="1" applyAlignment="1" applyProtection="1">
      <alignment horizontal="center" vertical="center" wrapText="1"/>
    </xf>
    <xf numFmtId="0" fontId="5" fillId="8" borderId="2" xfId="0" applyFont="1" applyFill="1" applyBorder="1" applyAlignment="1">
      <alignment horizontal="center" vertical="center"/>
    </xf>
    <xf numFmtId="0" fontId="0" fillId="0" borderId="16" xfId="0" applyBorder="1" applyAlignment="1">
      <alignment horizontal="right" vertical="center" wrapText="1"/>
    </xf>
    <xf numFmtId="0" fontId="0" fillId="0" borderId="17" xfId="0" applyBorder="1" applyAlignment="1">
      <alignment horizontal="right" vertical="center"/>
    </xf>
    <xf numFmtId="0" fontId="0" fillId="0" borderId="18" xfId="0" applyBorder="1" applyAlignment="1">
      <alignment horizontal="center" vertical="center"/>
    </xf>
    <xf numFmtId="0" fontId="0" fillId="0" borderId="19" xfId="0" applyBorder="1">
      <alignment vertical="center"/>
    </xf>
    <xf numFmtId="0" fontId="0" fillId="0" borderId="20" xfId="0" applyBorder="1" applyAlignment="1">
      <alignment horizontal="right" vertical="center"/>
    </xf>
    <xf numFmtId="0" fontId="0" fillId="0" borderId="9" xfId="0" applyBorder="1" applyAlignment="1">
      <alignment horizontal="center" vertical="center"/>
    </xf>
    <xf numFmtId="0" fontId="0" fillId="0" borderId="21" xfId="0" applyBorder="1">
      <alignment vertical="center"/>
    </xf>
    <xf numFmtId="0" fontId="0" fillId="0" borderId="22" xfId="0" applyBorder="1" applyAlignment="1">
      <alignment horizontal="right" vertical="center"/>
    </xf>
    <xf numFmtId="0" fontId="0" fillId="0" borderId="2" xfId="0" applyBorder="1" applyAlignment="1">
      <alignment horizontal="right" vertical="center"/>
    </xf>
    <xf numFmtId="0" fontId="0" fillId="0" borderId="23" xfId="0" applyBorder="1" applyAlignment="1">
      <alignment horizontal="center" vertical="center"/>
    </xf>
    <xf numFmtId="0" fontId="0" fillId="0" borderId="24" xfId="0" applyBorder="1">
      <alignment vertical="center"/>
    </xf>
    <xf numFmtId="0" fontId="0" fillId="9" borderId="2" xfId="0" applyFill="1" applyBorder="1" applyAlignment="1">
      <alignment horizontal="right" vertical="center"/>
    </xf>
    <xf numFmtId="0" fontId="0" fillId="0" borderId="2" xfId="0" applyFill="1" applyBorder="1" applyAlignment="1">
      <alignment horizontal="center" vertical="center"/>
    </xf>
    <xf numFmtId="0" fontId="0" fillId="0" borderId="25" xfId="0" applyBorder="1" applyAlignment="1">
      <alignment horizontal="right" vertical="center"/>
    </xf>
    <xf numFmtId="0" fontId="0" fillId="0" borderId="26" xfId="0" applyBorder="1" applyAlignment="1">
      <alignment horizontal="right" vertical="center"/>
    </xf>
    <xf numFmtId="0" fontId="0" fillId="0" borderId="27" xfId="0" applyBorder="1" applyAlignment="1">
      <alignment horizontal="center" vertical="center"/>
    </xf>
    <xf numFmtId="0" fontId="0" fillId="0" borderId="28" xfId="0" applyBorder="1">
      <alignment vertical="center"/>
    </xf>
    <xf numFmtId="0" fontId="0" fillId="0" borderId="29" xfId="0" applyFill="1" applyBorder="1" applyAlignment="1">
      <alignment horizontal="right" vertical="center"/>
    </xf>
    <xf numFmtId="0" fontId="0" fillId="0" borderId="29" xfId="0" applyFill="1" applyBorder="1" applyAlignment="1">
      <alignment horizontal="center" vertical="center"/>
    </xf>
    <xf numFmtId="0" fontId="0" fillId="0" borderId="30" xfId="0" applyFont="1" applyBorder="1" applyAlignment="1">
      <alignment horizontal="right" vertical="center"/>
    </xf>
    <xf numFmtId="0" fontId="0" fillId="0" borderId="31" xfId="0" applyBorder="1" applyAlignment="1">
      <alignment horizontal="right" vertical="center"/>
    </xf>
    <xf numFmtId="0" fontId="0" fillId="0" borderId="23" xfId="0" applyFill="1" applyBorder="1" applyAlignment="1">
      <alignment horizontal="center" vertical="center"/>
    </xf>
    <xf numFmtId="0" fontId="7" fillId="5" borderId="0" xfId="0" applyFont="1" applyFill="1" applyAlignment="1">
      <alignment horizontal="center" vertical="center"/>
    </xf>
    <xf numFmtId="0" fontId="3" fillId="4" borderId="1" xfId="0" applyFont="1" applyFill="1" applyBorder="1" applyAlignment="1">
      <alignment horizontal="center" vertical="center"/>
    </xf>
    <xf numFmtId="0" fontId="8" fillId="4" borderId="1" xfId="0" applyFont="1" applyFill="1" applyBorder="1" applyAlignment="1">
      <alignment vertical="center"/>
    </xf>
    <xf numFmtId="0" fontId="8" fillId="0" borderId="0" xfId="0" applyFont="1" applyFill="1" applyBorder="1" applyAlignment="1">
      <alignment vertical="center"/>
    </xf>
    <xf numFmtId="0" fontId="0" fillId="0" borderId="32" xfId="0" applyBorder="1" applyAlignment="1">
      <alignment horizontal="center" vertical="center"/>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6" fillId="0" borderId="9" xfId="0" applyFont="1" applyBorder="1" applyAlignment="1">
      <alignment horizontal="left" vertical="center"/>
    </xf>
    <xf numFmtId="0" fontId="10" fillId="10" borderId="23" xfId="0" applyFont="1" applyFill="1" applyBorder="1" applyAlignment="1">
      <alignment horizontal="center" vertical="center"/>
    </xf>
    <xf numFmtId="0" fontId="10" fillId="10" borderId="29" xfId="0" applyFont="1" applyFill="1" applyBorder="1" applyAlignment="1">
      <alignment horizontal="center" vertical="center"/>
    </xf>
    <xf numFmtId="0" fontId="10" fillId="10" borderId="33" xfId="0" applyFont="1" applyFill="1" applyBorder="1" applyAlignment="1">
      <alignment horizontal="center" vertical="center"/>
    </xf>
    <xf numFmtId="0" fontId="10" fillId="10" borderId="9" xfId="0" applyFont="1" applyFill="1" applyBorder="1" applyAlignment="1">
      <alignment horizontal="center" vertical="center"/>
    </xf>
    <xf numFmtId="0" fontId="10" fillId="10" borderId="34" xfId="0" applyFont="1" applyFill="1" applyBorder="1" applyAlignment="1">
      <alignment horizontal="center" vertical="center"/>
    </xf>
    <xf numFmtId="0" fontId="10" fillId="10" borderId="35" xfId="0" applyFont="1" applyFill="1" applyBorder="1" applyAlignment="1">
      <alignment horizontal="center" vertical="center"/>
    </xf>
    <xf numFmtId="0" fontId="0" fillId="0" borderId="2" xfId="0" applyBorder="1" applyAlignment="1">
      <alignment horizontal="center" vertical="center"/>
    </xf>
    <xf numFmtId="0" fontId="10" fillId="10" borderId="5" xfId="0" applyFont="1" applyFill="1" applyBorder="1" applyAlignment="1">
      <alignment horizontal="center" vertical="center"/>
    </xf>
    <xf numFmtId="0" fontId="10" fillId="10" borderId="0" xfId="0" applyFont="1" applyFill="1" applyBorder="1" applyAlignment="1">
      <alignment horizontal="center" vertical="center"/>
    </xf>
    <xf numFmtId="0" fontId="10" fillId="10" borderId="36" xfId="0" applyFont="1" applyFill="1" applyBorder="1" applyAlignment="1">
      <alignment horizontal="center" vertical="center"/>
    </xf>
    <xf numFmtId="0" fontId="10" fillId="10" borderId="37" xfId="0" applyFont="1" applyFill="1" applyBorder="1" applyAlignment="1">
      <alignment horizontal="center" vertical="center"/>
    </xf>
    <xf numFmtId="0" fontId="10" fillId="10" borderId="32" xfId="0" applyFont="1" applyFill="1" applyBorder="1" applyAlignment="1">
      <alignment horizontal="center" vertical="center"/>
    </xf>
    <xf numFmtId="0" fontId="10" fillId="10" borderId="38" xfId="0" applyFont="1" applyFill="1" applyBorder="1" applyAlignment="1">
      <alignment horizontal="center" vertical="center"/>
    </xf>
    <xf numFmtId="0" fontId="0" fillId="0" borderId="4" xfId="0" applyBorder="1" applyAlignment="1">
      <alignment horizontal="center" vertical="center"/>
    </xf>
    <xf numFmtId="0" fontId="0" fillId="0" borderId="2" xfId="0" applyFont="1" applyBorder="1" applyAlignment="1">
      <alignment horizontal="center" vertical="center"/>
    </xf>
    <xf numFmtId="0" fontId="11" fillId="7" borderId="9" xfId="0" applyFont="1" applyFill="1" applyBorder="1" applyAlignment="1">
      <alignment horizontal="center" vertical="center"/>
    </xf>
    <xf numFmtId="0" fontId="0" fillId="0" borderId="29"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Alignment="1">
      <alignment horizontal="right" vertical="center" wrapText="1"/>
    </xf>
    <xf numFmtId="0" fontId="0" fillId="0" borderId="0" xfId="0" applyAlignment="1">
      <alignment horizontal="center" vertical="center" wrapText="1"/>
    </xf>
    <xf numFmtId="0" fontId="7" fillId="5" borderId="0" xfId="0" applyFont="1" applyFill="1" applyAlignment="1">
      <alignment vertical="center"/>
    </xf>
    <xf numFmtId="0" fontId="12" fillId="0" borderId="0" xfId="0" applyFont="1" applyAlignment="1">
      <alignment vertical="center"/>
    </xf>
    <xf numFmtId="0" fontId="9" fillId="11" borderId="9" xfId="0" applyFont="1" applyFill="1" applyBorder="1" applyAlignment="1">
      <alignment horizontal="right" vertical="center"/>
    </xf>
    <xf numFmtId="0" fontId="9" fillId="11" borderId="35" xfId="0" applyFont="1" applyFill="1" applyBorder="1" applyAlignment="1">
      <alignment horizontal="right" vertical="center"/>
    </xf>
    <xf numFmtId="49" fontId="9" fillId="0" borderId="9" xfId="0" applyNumberFormat="1" applyFont="1" applyFill="1" applyBorder="1" applyAlignment="1">
      <alignment horizontal="right" vertical="center"/>
    </xf>
    <xf numFmtId="49" fontId="0" fillId="0" borderId="34" xfId="0" applyNumberFormat="1" applyFont="1" applyBorder="1" applyAlignment="1">
      <alignment vertical="center"/>
    </xf>
    <xf numFmtId="49" fontId="0" fillId="0" borderId="35" xfId="0" applyNumberFormat="1" applyFont="1" applyBorder="1" applyAlignment="1">
      <alignment vertical="center"/>
    </xf>
    <xf numFmtId="0" fontId="0" fillId="0" borderId="34" xfId="0" applyFont="1" applyBorder="1" applyAlignment="1">
      <alignment vertical="center"/>
    </xf>
    <xf numFmtId="0" fontId="0" fillId="0" borderId="35" xfId="0" applyFont="1" applyBorder="1" applyAlignment="1">
      <alignment vertical="center"/>
    </xf>
    <xf numFmtId="49" fontId="13" fillId="0" borderId="23" xfId="0" applyNumberFormat="1" applyFont="1" applyFill="1" applyBorder="1" applyAlignment="1">
      <alignment horizontal="right" vertical="center"/>
    </xf>
    <xf numFmtId="0" fontId="0" fillId="0" borderId="29" xfId="0" applyBorder="1" applyAlignment="1">
      <alignment vertical="center"/>
    </xf>
    <xf numFmtId="0" fontId="1" fillId="12" borderId="41" xfId="0" applyFont="1" applyFill="1" applyBorder="1" applyAlignment="1">
      <alignment horizontal="right" vertical="center" wrapText="1"/>
    </xf>
    <xf numFmtId="0" fontId="1" fillId="12" borderId="14" xfId="0" applyFont="1" applyFill="1" applyBorder="1" applyAlignment="1">
      <alignment horizontal="right" vertical="center" wrapText="1"/>
    </xf>
    <xf numFmtId="0" fontId="14" fillId="0" borderId="39" xfId="0" applyFont="1" applyBorder="1" applyAlignment="1">
      <alignment horizontal="center" vertical="center" wrapText="1"/>
    </xf>
    <xf numFmtId="0" fontId="1" fillId="12" borderId="42" xfId="0" applyFont="1" applyFill="1" applyBorder="1" applyAlignment="1">
      <alignment horizontal="right" vertical="center" wrapText="1"/>
    </xf>
    <xf numFmtId="0" fontId="6" fillId="0" borderId="0" xfId="0" applyFont="1" applyFill="1" applyBorder="1" applyAlignment="1">
      <alignment vertical="center" wrapText="1"/>
    </xf>
    <xf numFmtId="0" fontId="3" fillId="4" borderId="23" xfId="0" applyFont="1" applyFill="1" applyBorder="1" applyAlignment="1">
      <alignment horizontal="center" vertical="center"/>
    </xf>
    <xf numFmtId="0" fontId="8" fillId="4" borderId="29" xfId="0" applyFont="1" applyFill="1" applyBorder="1" applyAlignment="1">
      <alignment vertical="center"/>
    </xf>
    <xf numFmtId="0" fontId="8" fillId="4" borderId="33" xfId="0" applyFont="1" applyFill="1" applyBorder="1" applyAlignment="1">
      <alignment vertical="center"/>
    </xf>
    <xf numFmtId="0" fontId="3" fillId="4"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5" fillId="13" borderId="16" xfId="0" applyFont="1" applyFill="1" applyBorder="1" applyAlignment="1">
      <alignment horizontal="center" vertical="center" wrapText="1"/>
    </xf>
    <xf numFmtId="176" fontId="6" fillId="13" borderId="17" xfId="0" applyNumberFormat="1" applyFont="1" applyFill="1" applyBorder="1" applyAlignment="1">
      <alignment horizontal="right" vertical="center" wrapText="1"/>
    </xf>
    <xf numFmtId="0" fontId="6" fillId="0" borderId="19" xfId="0" applyFont="1" applyFill="1" applyBorder="1" applyAlignment="1">
      <alignment horizontal="center" vertical="center" wrapText="1"/>
    </xf>
    <xf numFmtId="0" fontId="0" fillId="0" borderId="0" xfId="0" applyFill="1" applyBorder="1" applyAlignment="1">
      <alignment vertical="center" wrapText="1"/>
    </xf>
    <xf numFmtId="0" fontId="0" fillId="10" borderId="5" xfId="0" applyFill="1" applyBorder="1" applyAlignment="1">
      <alignment vertical="center" wrapText="1"/>
    </xf>
    <xf numFmtId="0" fontId="0" fillId="10" borderId="0" xfId="0" applyFill="1" applyBorder="1" applyAlignment="1">
      <alignment vertical="center" wrapText="1"/>
    </xf>
    <xf numFmtId="0" fontId="0" fillId="10" borderId="36" xfId="0" applyFill="1" applyBorder="1" applyAlignment="1">
      <alignment vertical="center" wrapText="1"/>
    </xf>
    <xf numFmtId="0" fontId="15" fillId="13" borderId="20" xfId="0" applyFont="1" applyFill="1" applyBorder="1" applyAlignment="1">
      <alignment horizontal="center" vertical="center" wrapText="1"/>
    </xf>
    <xf numFmtId="176" fontId="6" fillId="13" borderId="1" xfId="0" applyNumberFormat="1" applyFont="1" applyFill="1" applyBorder="1" applyAlignment="1">
      <alignment horizontal="right" vertical="center" wrapText="1"/>
    </xf>
    <xf numFmtId="0" fontId="6" fillId="0" borderId="21" xfId="0" applyFont="1" applyFill="1" applyBorder="1" applyAlignment="1">
      <alignment horizontal="center" vertical="center" wrapText="1"/>
    </xf>
    <xf numFmtId="0" fontId="0" fillId="0" borderId="20" xfId="0" applyBorder="1" applyAlignment="1">
      <alignment horizontal="center" vertical="center" wrapText="1"/>
    </xf>
    <xf numFmtId="0" fontId="0" fillId="0" borderId="22" xfId="0" applyBorder="1" applyAlignment="1">
      <alignment horizontal="center" vertical="center" wrapText="1"/>
    </xf>
    <xf numFmtId="176" fontId="6" fillId="13" borderId="2" xfId="0" applyNumberFormat="1" applyFont="1" applyFill="1" applyBorder="1" applyAlignment="1">
      <alignment horizontal="right" vertical="center" wrapText="1"/>
    </xf>
    <xf numFmtId="0" fontId="6" fillId="0" borderId="24" xfId="0" applyFont="1" applyFill="1" applyBorder="1" applyAlignment="1">
      <alignment horizontal="center" vertical="center" wrapText="1"/>
    </xf>
    <xf numFmtId="0" fontId="0" fillId="0" borderId="3" xfId="0" applyBorder="1" applyAlignment="1">
      <alignment vertical="center" wrapText="1"/>
    </xf>
    <xf numFmtId="0" fontId="15" fillId="14" borderId="16" xfId="0" applyFont="1" applyFill="1" applyBorder="1" applyAlignment="1">
      <alignment horizontal="center" vertical="center" wrapText="1"/>
    </xf>
    <xf numFmtId="0" fontId="6" fillId="14" borderId="17" xfId="0" applyFont="1" applyFill="1" applyBorder="1" applyAlignment="1">
      <alignment horizontal="right" vertical="center" wrapText="1"/>
    </xf>
    <xf numFmtId="0" fontId="6" fillId="0" borderId="19" xfId="0" applyFont="1" applyBorder="1" applyAlignment="1">
      <alignment horizontal="center" vertical="center" wrapText="1"/>
    </xf>
    <xf numFmtId="0" fontId="15" fillId="14" borderId="20" xfId="0" applyFont="1" applyFill="1" applyBorder="1" applyAlignment="1">
      <alignment horizontal="center" vertical="center" wrapText="1"/>
    </xf>
    <xf numFmtId="0" fontId="6" fillId="14" borderId="1" xfId="0" applyFont="1" applyFill="1" applyBorder="1" applyAlignment="1">
      <alignment horizontal="right" vertical="center" wrapText="1"/>
    </xf>
    <xf numFmtId="0" fontId="6" fillId="0" borderId="21" xfId="0" applyFont="1" applyBorder="1" applyAlignment="1">
      <alignment horizontal="center" vertical="center" wrapText="1"/>
    </xf>
    <xf numFmtId="0" fontId="6" fillId="14" borderId="2" xfId="0" applyFont="1" applyFill="1" applyBorder="1" applyAlignment="1">
      <alignment horizontal="right" vertical="center" wrapText="1"/>
    </xf>
    <xf numFmtId="0" fontId="6" fillId="0" borderId="24" xfId="0" applyFont="1" applyBorder="1" applyAlignment="1">
      <alignment horizontal="center" vertical="center" wrapText="1"/>
    </xf>
    <xf numFmtId="0" fontId="0" fillId="10" borderId="43" xfId="0" applyFill="1" applyBorder="1" applyAlignment="1">
      <alignment vertical="center" wrapText="1"/>
    </xf>
    <xf numFmtId="0" fontId="0" fillId="0" borderId="5" xfId="0" applyBorder="1" applyAlignment="1">
      <alignment vertical="center" wrapText="1"/>
    </xf>
    <xf numFmtId="0" fontId="15" fillId="14" borderId="30" xfId="0" applyFont="1" applyFill="1" applyBorder="1" applyAlignment="1">
      <alignment horizontal="center" vertical="center" wrapText="1"/>
    </xf>
    <xf numFmtId="0" fontId="15" fillId="14" borderId="31" xfId="0" applyFont="1" applyFill="1" applyBorder="1" applyAlignment="1">
      <alignment horizontal="center" vertical="center" wrapText="1"/>
    </xf>
    <xf numFmtId="0" fontId="0" fillId="0" borderId="31" xfId="0" applyBorder="1" applyAlignment="1">
      <alignment horizontal="center" vertical="center" wrapText="1"/>
    </xf>
    <xf numFmtId="0" fontId="0" fillId="0" borderId="25" xfId="0" applyBorder="1" applyAlignment="1">
      <alignment horizontal="center" vertical="center" wrapText="1"/>
    </xf>
    <xf numFmtId="0" fontId="6" fillId="14" borderId="26" xfId="0" applyFont="1" applyFill="1" applyBorder="1" applyAlignment="1">
      <alignment horizontal="right" vertical="center" wrapText="1"/>
    </xf>
    <xf numFmtId="0" fontId="6" fillId="0" borderId="28" xfId="0" applyFont="1" applyBorder="1" applyAlignment="1">
      <alignment horizontal="center" vertical="center" wrapText="1"/>
    </xf>
    <xf numFmtId="0" fontId="15" fillId="15" borderId="31" xfId="0" applyFont="1" applyFill="1" applyBorder="1" applyAlignment="1">
      <alignment horizontal="center" vertical="center" wrapText="1"/>
    </xf>
    <xf numFmtId="176" fontId="6" fillId="15" borderId="4" xfId="0" applyNumberFormat="1" applyFont="1" applyFill="1" applyBorder="1" applyAlignment="1">
      <alignment horizontal="right" vertical="center" wrapText="1"/>
    </xf>
    <xf numFmtId="0" fontId="6" fillId="0" borderId="44" xfId="0" applyFont="1" applyFill="1" applyBorder="1" applyAlignment="1">
      <alignment horizontal="center" vertical="center" wrapText="1"/>
    </xf>
    <xf numFmtId="0" fontId="6" fillId="0" borderId="44" xfId="0" applyFont="1" applyBorder="1" applyAlignment="1">
      <alignment horizontal="center" vertical="center" wrapText="1"/>
    </xf>
    <xf numFmtId="0" fontId="15" fillId="15" borderId="45" xfId="0" applyFont="1" applyFill="1" applyBorder="1" applyAlignment="1">
      <alignment horizontal="center" vertical="center" wrapText="1"/>
    </xf>
    <xf numFmtId="176" fontId="6" fillId="15" borderId="26" xfId="0" applyNumberFormat="1" applyFont="1" applyFill="1" applyBorder="1" applyAlignment="1">
      <alignment horizontal="right" vertical="center" wrapText="1"/>
    </xf>
    <xf numFmtId="0" fontId="6" fillId="0" borderId="46" xfId="0" applyFont="1" applyBorder="1" applyAlignment="1">
      <alignment horizontal="center" vertical="center" wrapText="1"/>
    </xf>
    <xf numFmtId="0" fontId="15" fillId="9" borderId="16" xfId="0" applyFont="1" applyFill="1" applyBorder="1" applyAlignment="1">
      <alignment horizontal="center" vertical="center" wrapText="1"/>
    </xf>
    <xf numFmtId="0" fontId="6" fillId="9" borderId="17" xfId="0" applyFont="1" applyFill="1" applyBorder="1" applyAlignment="1">
      <alignment horizontal="right" vertical="center" wrapText="1"/>
    </xf>
    <xf numFmtId="0" fontId="15" fillId="9" borderId="47" xfId="0" applyFont="1" applyFill="1" applyBorder="1" applyAlignment="1">
      <alignment horizontal="center" vertical="center" wrapText="1"/>
    </xf>
    <xf numFmtId="0" fontId="6" fillId="9" borderId="4" xfId="0" applyFont="1" applyFill="1" applyBorder="1" applyAlignment="1">
      <alignment horizontal="right" vertical="center" wrapText="1"/>
    </xf>
    <xf numFmtId="0" fontId="15" fillId="9" borderId="20" xfId="0" applyFont="1" applyFill="1" applyBorder="1" applyAlignment="1">
      <alignment horizontal="center" vertical="center" wrapText="1"/>
    </xf>
    <xf numFmtId="0" fontId="6" fillId="9" borderId="1" xfId="0" applyFont="1" applyFill="1" applyBorder="1" applyAlignment="1">
      <alignment horizontal="right" vertical="center" wrapText="1"/>
    </xf>
    <xf numFmtId="0" fontId="16" fillId="9" borderId="1" xfId="0" applyFont="1" applyFill="1" applyBorder="1" applyAlignment="1">
      <alignment horizontal="right" vertical="center" wrapText="1"/>
    </xf>
    <xf numFmtId="0" fontId="6" fillId="9" borderId="2" xfId="0" applyFont="1" applyFill="1" applyBorder="1" applyAlignment="1">
      <alignment horizontal="right" vertical="center" wrapText="1"/>
    </xf>
    <xf numFmtId="0" fontId="6" fillId="9" borderId="26" xfId="0" applyFont="1" applyFill="1" applyBorder="1" applyAlignment="1">
      <alignment horizontal="right" vertical="center" wrapText="1"/>
    </xf>
    <xf numFmtId="0" fontId="15" fillId="16" borderId="16" xfId="0" applyFont="1" applyFill="1" applyBorder="1" applyAlignment="1">
      <alignment horizontal="center" vertical="center" wrapText="1"/>
    </xf>
    <xf numFmtId="0" fontId="6" fillId="16" borderId="17" xfId="0" applyFont="1" applyFill="1" applyBorder="1" applyAlignment="1">
      <alignment horizontal="right" vertical="center" wrapText="1"/>
    </xf>
    <xf numFmtId="0" fontId="15" fillId="16" borderId="20" xfId="0" applyFont="1" applyFill="1" applyBorder="1" applyAlignment="1">
      <alignment horizontal="center" vertical="center" wrapText="1"/>
    </xf>
    <xf numFmtId="0" fontId="6" fillId="16" borderId="1" xfId="0" applyFont="1" applyFill="1" applyBorder="1" applyAlignment="1">
      <alignment horizontal="right" vertical="center" wrapText="1"/>
    </xf>
    <xf numFmtId="0" fontId="6" fillId="16" borderId="26" xfId="0" applyFont="1" applyFill="1" applyBorder="1" applyAlignment="1">
      <alignment horizontal="right" vertical="center" wrapText="1"/>
    </xf>
    <xf numFmtId="0" fontId="15" fillId="17" borderId="47" xfId="0" applyFont="1" applyFill="1" applyBorder="1" applyAlignment="1">
      <alignment horizontal="center" vertical="center" wrapText="1"/>
    </xf>
    <xf numFmtId="0" fontId="6" fillId="17" borderId="4" xfId="0" applyFont="1" applyFill="1" applyBorder="1" applyAlignment="1">
      <alignment horizontal="right" vertical="center" wrapText="1"/>
    </xf>
    <xf numFmtId="0" fontId="0" fillId="0" borderId="0" xfId="0" applyBorder="1" applyAlignment="1">
      <alignment vertical="center" wrapText="1"/>
    </xf>
    <xf numFmtId="0" fontId="0" fillId="17" borderId="20" xfId="0" applyFill="1" applyBorder="1" applyAlignment="1">
      <alignment horizontal="center" vertical="center" wrapText="1"/>
    </xf>
    <xf numFmtId="0" fontId="6" fillId="17" borderId="1" xfId="0" applyFont="1" applyFill="1" applyBorder="1" applyAlignment="1">
      <alignment horizontal="right" vertical="center" wrapText="1"/>
    </xf>
    <xf numFmtId="0" fontId="0" fillId="0" borderId="0" xfId="0" applyFill="1" applyAlignment="1">
      <alignment vertical="center" wrapText="1"/>
    </xf>
    <xf numFmtId="0" fontId="6" fillId="17" borderId="26" xfId="0" applyFont="1" applyFill="1" applyBorder="1" applyAlignment="1">
      <alignment horizontal="right" vertical="center" wrapText="1"/>
    </xf>
    <xf numFmtId="0" fontId="15" fillId="17" borderId="16" xfId="0" applyFont="1" applyFill="1" applyBorder="1" applyAlignment="1">
      <alignment horizontal="center" vertical="center" wrapText="1"/>
    </xf>
    <xf numFmtId="0" fontId="6" fillId="17" borderId="17" xfId="0" applyFont="1" applyFill="1" applyBorder="1" applyAlignment="1">
      <alignment horizontal="right" vertical="center" wrapText="1"/>
    </xf>
    <xf numFmtId="0" fontId="6" fillId="17" borderId="2" xfId="0" applyFont="1" applyFill="1" applyBorder="1" applyAlignment="1">
      <alignment horizontal="right" vertical="center" wrapText="1"/>
    </xf>
    <xf numFmtId="0" fontId="15" fillId="10" borderId="48" xfId="0" applyFont="1" applyFill="1" applyBorder="1" applyAlignment="1">
      <alignment horizontal="center" vertical="center" wrapText="1"/>
    </xf>
    <xf numFmtId="0" fontId="0" fillId="10" borderId="49" xfId="0" applyFill="1" applyBorder="1" applyAlignment="1">
      <alignment horizontal="right" vertical="center" wrapText="1"/>
    </xf>
    <xf numFmtId="0" fontId="0" fillId="0" borderId="50" xfId="0" applyBorder="1" applyAlignment="1">
      <alignment horizontal="center" vertical="center" wrapText="1"/>
    </xf>
    <xf numFmtId="0" fontId="17" fillId="6" borderId="0" xfId="0" applyFont="1" applyFill="1" applyBorder="1" applyAlignment="1">
      <alignment vertical="center" wrapText="1"/>
    </xf>
    <xf numFmtId="0" fontId="9" fillId="0" borderId="0" xfId="0" applyFont="1" applyBorder="1" applyAlignment="1">
      <alignment vertical="center" wrapText="1"/>
    </xf>
    <xf numFmtId="0" fontId="0" fillId="6" borderId="0" xfId="0" applyFill="1" applyBorder="1" applyAlignment="1">
      <alignment horizontal="center" vertical="center" wrapText="1"/>
    </xf>
    <xf numFmtId="0" fontId="0" fillId="6" borderId="0" xfId="0" applyFill="1" applyBorder="1" applyAlignment="1">
      <alignment vertical="center" wrapText="1"/>
    </xf>
    <xf numFmtId="0" fontId="18" fillId="0" borderId="0" xfId="0" applyFont="1" applyFill="1" applyBorder="1" applyAlignment="1">
      <alignment vertical="center" wrapText="1"/>
    </xf>
    <xf numFmtId="0" fontId="0" fillId="0" borderId="0" xfId="0" applyFill="1" applyBorder="1" applyAlignment="1">
      <alignment horizontal="center" vertical="center" wrapText="1"/>
    </xf>
    <xf numFmtId="0" fontId="18" fillId="6" borderId="0" xfId="0" applyFont="1" applyFill="1" applyBorder="1" applyAlignment="1">
      <alignment vertical="center" wrapText="1"/>
    </xf>
    <xf numFmtId="0" fontId="18" fillId="6" borderId="0" xfId="0" applyFont="1" applyFill="1" applyBorder="1" applyAlignment="1">
      <alignment horizontal="center" vertical="center" wrapText="1"/>
    </xf>
    <xf numFmtId="0" fontId="19" fillId="6" borderId="0" xfId="0" applyFont="1" applyFill="1" applyBorder="1" applyAlignment="1">
      <alignment vertical="center" wrapText="1"/>
    </xf>
    <xf numFmtId="0" fontId="20" fillId="0" borderId="0" xfId="0" applyFont="1" applyBorder="1" applyAlignment="1">
      <alignment vertical="center" wrapText="1"/>
    </xf>
    <xf numFmtId="0" fontId="21" fillId="6" borderId="0" xfId="0" applyFont="1" applyFill="1" applyBorder="1" applyAlignment="1">
      <alignment horizontal="center" wrapText="1"/>
    </xf>
    <xf numFmtId="0" fontId="22" fillId="6" borderId="0" xfId="0" applyFont="1" applyFill="1" applyBorder="1" applyAlignment="1">
      <alignment wrapText="1"/>
    </xf>
    <xf numFmtId="0" fontId="0" fillId="0" borderId="0" xfId="0" applyBorder="1" applyAlignment="1">
      <alignment horizontal="right" vertical="center" wrapText="1"/>
    </xf>
    <xf numFmtId="0" fontId="0" fillId="0" borderId="0" xfId="0"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vertical="center" wrapText="1"/>
    </xf>
    <xf numFmtId="0" fontId="0" fillId="0" borderId="0" xfId="0" applyFont="1" applyBorder="1" applyAlignment="1">
      <alignment vertical="center" wrapText="1"/>
    </xf>
    <xf numFmtId="0" fontId="20" fillId="0" borderId="0" xfId="0" applyFont="1" applyBorder="1" applyAlignment="1">
      <alignment horizontal="left" vertical="center" wrapText="1"/>
    </xf>
    <xf numFmtId="0" fontId="0" fillId="0" borderId="0" xfId="0" applyBorder="1" applyAlignment="1">
      <alignment horizontal="left" vertical="center" wrapText="1"/>
    </xf>
    <xf numFmtId="0" fontId="20" fillId="0" borderId="0" xfId="0" applyFont="1" applyAlignment="1">
      <alignment horizontal="left" vertical="center" wrapText="1"/>
    </xf>
    <xf numFmtId="0" fontId="20" fillId="0" borderId="0" xfId="0" applyFont="1" applyAlignment="1">
      <alignment vertical="center" wrapText="1"/>
    </xf>
    <xf numFmtId="0" fontId="0" fillId="0" borderId="0" xfId="0" applyAlignment="1">
      <alignment horizontal="left" vertical="center" wrapText="1"/>
    </xf>
    <xf numFmtId="0" fontId="23" fillId="0" borderId="0" xfId="0" applyFont="1" applyAlignment="1">
      <alignment horizontal="right" vertical="center" wrapText="1"/>
    </xf>
    <xf numFmtId="0" fontId="23" fillId="0" borderId="0" xfId="0" applyFont="1" applyAlignment="1">
      <alignment horizontal="center" vertical="center" wrapText="1"/>
    </xf>
    <xf numFmtId="0" fontId="18" fillId="6" borderId="0" xfId="0" applyFont="1" applyFill="1" applyBorder="1" applyAlignment="1">
      <alignment vertical="top" wrapText="1"/>
    </xf>
    <xf numFmtId="0" fontId="0" fillId="0" borderId="0" xfId="0" applyBorder="1" applyAlignment="1">
      <alignment vertical="top" wrapText="1"/>
    </xf>
    <xf numFmtId="0" fontId="18" fillId="0" borderId="0" xfId="0" applyFont="1" applyBorder="1" applyAlignment="1">
      <alignment vertical="center" wrapText="1"/>
    </xf>
    <xf numFmtId="0" fontId="22" fillId="0" borderId="0" xfId="0" applyFont="1" applyBorder="1"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ont>
        <color theme="0"/>
      </font>
      <fill>
        <patternFill patternType="none"/>
      </fill>
      <border>
        <left/>
        <right/>
        <top/>
        <bottom/>
      </border>
    </dxf>
  </dxfs>
  <tableStyles count="0" defaultTableStyle="TableStyleMedium2" defaultPivotStyle="PivotStyleLight16"/>
  <colors>
    <mruColors>
      <color rgb="000000FF"/>
      <color rgb="0093F1D2"/>
      <color rgb="0058EAB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83820" y="7228205"/>
          <a:ext cx="7162165" cy="2013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xdr:nvSpPr>
        <xdr:cNvPr id="4" name="向下箭號 3"/>
        <xdr:cNvSpPr/>
      </xdr:nvSpPr>
      <xdr:spPr>
        <a:xfrm rot="20074937">
          <a:off x="4897755" y="6470650"/>
          <a:ext cx="305435" cy="839470"/>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xdr:nvSpPr>
        <xdr:cNvPr id="6" name="向下箭號 5"/>
        <xdr:cNvSpPr/>
      </xdr:nvSpPr>
      <xdr:spPr>
        <a:xfrm rot="20074937">
          <a:off x="5619750" y="6455410"/>
          <a:ext cx="381635" cy="839470"/>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2"/>
  <dimension ref="A1:P160"/>
  <sheetViews>
    <sheetView tabSelected="1" zoomScale="130" zoomScaleNormal="130" workbookViewId="0">
      <pane ySplit="6" topLeftCell="A49" activePane="bottomLeft" state="frozen"/>
      <selection/>
      <selection pane="bottomLeft" activeCell="C68" sqref="C68"/>
    </sheetView>
  </sheetViews>
  <sheetFormatPr defaultColWidth="9" defaultRowHeight="14.25"/>
  <cols>
    <col min="1" max="1" width="13.5" style="19" customWidth="1"/>
    <col min="2" max="2" width="27.125" style="104" customWidth="1"/>
    <col min="3" max="3" width="10.5" style="105" customWidth="1"/>
    <col min="4" max="4" width="1.875" style="19" customWidth="1"/>
    <col min="5" max="5" width="13.25" style="19" customWidth="1"/>
    <col min="6" max="6" width="26.375" style="19" customWidth="1"/>
    <col min="7" max="7" width="9.875" style="19" customWidth="1"/>
    <col min="8" max="8" width="1.5" style="19" customWidth="1"/>
    <col min="9" max="9" width="12.75" style="19" customWidth="1"/>
    <col min="10" max="10" width="26.5" style="19" customWidth="1"/>
    <col min="11" max="11" width="10.125" style="19" customWidth="1"/>
    <col min="12" max="12" width="1.5" style="19" customWidth="1"/>
    <col min="13" max="13" width="12.875" style="19" customWidth="1"/>
    <col min="14" max="14" width="26.25" style="19" customWidth="1"/>
    <col min="15" max="15" width="8.25" style="19" customWidth="1"/>
    <col min="16" max="16" width="1.375" style="19" customWidth="1"/>
    <col min="17" max="16384" width="9" style="19"/>
  </cols>
  <sheetData>
    <row r="1" s="42" customFormat="1" ht="24.6" customHeight="1" spans="1:16">
      <c r="A1" s="106" t="s">
        <v>0</v>
      </c>
      <c r="B1" s="107"/>
      <c r="C1" s="107"/>
      <c r="D1" s="107"/>
      <c r="E1" s="107"/>
      <c r="F1" s="107"/>
      <c r="G1" s="107"/>
      <c r="H1" s="107"/>
      <c r="I1" s="107"/>
      <c r="J1" s="107"/>
      <c r="K1" s="107"/>
      <c r="L1" s="107"/>
      <c r="M1" s="107"/>
      <c r="N1" s="107"/>
      <c r="O1" s="107"/>
      <c r="P1" s="107"/>
    </row>
    <row r="2" s="42" customFormat="1" ht="15.75" spans="1:16">
      <c r="A2" s="108" t="s">
        <v>1</v>
      </c>
      <c r="B2" s="109"/>
      <c r="C2" s="110" t="s">
        <v>2</v>
      </c>
      <c r="D2" s="111"/>
      <c r="E2" s="112"/>
      <c r="F2" s="11"/>
      <c r="G2" s="11"/>
      <c r="H2" s="11"/>
      <c r="I2" s="11"/>
      <c r="J2" s="11"/>
      <c r="K2" s="11"/>
      <c r="L2" s="11"/>
      <c r="M2" s="11"/>
      <c r="N2" s="11"/>
      <c r="O2" s="11"/>
      <c r="P2" s="11"/>
    </row>
    <row r="3" s="42" customFormat="1" ht="15.75" spans="1:16">
      <c r="A3" s="108"/>
      <c r="B3" s="109" t="s">
        <v>3</v>
      </c>
      <c r="C3" s="110" t="s">
        <v>4</v>
      </c>
      <c r="D3" s="113"/>
      <c r="E3" s="114"/>
      <c r="F3" s="11"/>
      <c r="G3" s="11"/>
      <c r="H3" s="11"/>
      <c r="I3" s="11"/>
      <c r="J3" s="11"/>
      <c r="K3" s="11"/>
      <c r="L3" s="11"/>
      <c r="M3" s="11"/>
      <c r="N3" s="11"/>
      <c r="O3" s="11"/>
      <c r="P3" s="11"/>
    </row>
    <row r="4" s="42" customFormat="1" ht="7.15" customHeight="1" spans="1:16">
      <c r="A4" s="11"/>
      <c r="B4" s="11"/>
      <c r="C4" s="115"/>
      <c r="D4" s="10"/>
      <c r="E4" s="116"/>
      <c r="F4" s="11"/>
      <c r="G4" s="11"/>
      <c r="H4" s="11"/>
      <c r="I4" s="11"/>
      <c r="J4" s="11"/>
      <c r="K4" s="11"/>
      <c r="L4" s="11"/>
      <c r="M4" s="11"/>
      <c r="N4" s="11"/>
      <c r="O4" s="11"/>
      <c r="P4" s="11"/>
    </row>
    <row r="5" s="19" customFormat="1" ht="15" spans="1:15">
      <c r="A5" s="117" t="s">
        <v>5</v>
      </c>
      <c r="B5" s="118"/>
      <c r="C5" s="119">
        <f>CEILING('Pool Memory'!D33,1024)</f>
        <v>319488</v>
      </c>
      <c r="E5" s="117" t="s">
        <v>6</v>
      </c>
      <c r="F5" s="120"/>
      <c r="G5" s="119">
        <f>CEILING('Pool Memory'!H33,1024)</f>
        <v>242688</v>
      </c>
      <c r="I5" s="117" t="s">
        <v>7</v>
      </c>
      <c r="J5" s="120"/>
      <c r="K5" s="119">
        <f>CEILING('Pool Memory'!L33,1024)</f>
        <v>242688</v>
      </c>
      <c r="M5" s="117" t="s">
        <v>8</v>
      </c>
      <c r="N5" s="120"/>
      <c r="O5" s="119">
        <f>CEILING('Pool Memory'!P33,1024)</f>
        <v>242688</v>
      </c>
    </row>
    <row r="6" s="42" customFormat="1" ht="7.9" customHeight="1" spans="1:5">
      <c r="A6" s="121"/>
      <c r="B6" s="121"/>
      <c r="C6" s="121"/>
      <c r="D6" s="121"/>
      <c r="E6" s="121"/>
    </row>
    <row r="7" s="42" customFormat="1" ht="17.25" spans="1:15">
      <c r="A7" s="122" t="s">
        <v>9</v>
      </c>
      <c r="B7" s="123"/>
      <c r="C7" s="124"/>
      <c r="D7" s="12"/>
      <c r="E7" s="125" t="s">
        <v>10</v>
      </c>
      <c r="F7" s="126"/>
      <c r="G7" s="126"/>
      <c r="I7" s="125" t="s">
        <v>11</v>
      </c>
      <c r="J7" s="126"/>
      <c r="K7" s="126"/>
      <c r="M7" s="125" t="s">
        <v>12</v>
      </c>
      <c r="N7" s="126"/>
      <c r="O7" s="126"/>
    </row>
    <row r="8" ht="16.15" customHeight="1" spans="1:15">
      <c r="A8" s="127" t="s">
        <v>13</v>
      </c>
      <c r="B8" s="128" t="s">
        <v>14</v>
      </c>
      <c r="C8" s="129">
        <v>1</v>
      </c>
      <c r="D8" s="130"/>
      <c r="E8" s="131"/>
      <c r="F8" s="132"/>
      <c r="G8" s="133"/>
      <c r="I8" s="131"/>
      <c r="J8" s="132"/>
      <c r="K8" s="133"/>
      <c r="M8" s="131"/>
      <c r="N8" s="132"/>
      <c r="O8" s="133"/>
    </row>
    <row r="9" s="19" customFormat="1" ht="16.15" customHeight="1" spans="1:15">
      <c r="A9" s="134"/>
      <c r="B9" s="135" t="s">
        <v>15</v>
      </c>
      <c r="C9" s="136">
        <v>2</v>
      </c>
      <c r="D9" s="130"/>
      <c r="E9" s="131"/>
      <c r="F9" s="132"/>
      <c r="G9" s="133"/>
      <c r="I9" s="131"/>
      <c r="J9" s="132"/>
      <c r="K9" s="133"/>
      <c r="M9" s="131"/>
      <c r="N9" s="132"/>
      <c r="O9" s="133"/>
    </row>
    <row r="10" s="19" customFormat="1" ht="16.15" customHeight="1" spans="1:15">
      <c r="A10" s="134"/>
      <c r="B10" s="135" t="s">
        <v>16</v>
      </c>
      <c r="C10" s="136">
        <v>1.5</v>
      </c>
      <c r="D10" s="130"/>
      <c r="E10" s="131"/>
      <c r="F10" s="132"/>
      <c r="G10" s="133"/>
      <c r="I10" s="131"/>
      <c r="J10" s="132"/>
      <c r="K10" s="133"/>
      <c r="M10" s="131"/>
      <c r="N10" s="132"/>
      <c r="O10" s="133"/>
    </row>
    <row r="11" ht="15.75" spans="1:15">
      <c r="A11" s="134"/>
      <c r="B11" s="135" t="s">
        <v>17</v>
      </c>
      <c r="C11" s="136">
        <v>3840</v>
      </c>
      <c r="D11" s="130"/>
      <c r="E11" s="131"/>
      <c r="F11" s="132"/>
      <c r="G11" s="133"/>
      <c r="I11" s="131"/>
      <c r="J11" s="132"/>
      <c r="K11" s="133"/>
      <c r="M11" s="131"/>
      <c r="N11" s="132"/>
      <c r="O11" s="133"/>
    </row>
    <row r="12" ht="15.75" spans="1:15">
      <c r="A12" s="134"/>
      <c r="B12" s="135" t="s">
        <v>18</v>
      </c>
      <c r="C12" s="136">
        <v>2160</v>
      </c>
      <c r="D12" s="130"/>
      <c r="E12" s="131"/>
      <c r="F12" s="132"/>
      <c r="G12" s="133"/>
      <c r="I12" s="131"/>
      <c r="J12" s="132"/>
      <c r="K12" s="133"/>
      <c r="M12" s="131"/>
      <c r="N12" s="132"/>
      <c r="O12" s="133"/>
    </row>
    <row r="13" s="19" customFormat="1" ht="15.75" spans="1:15">
      <c r="A13" s="134"/>
      <c r="B13" s="135" t="s">
        <v>19</v>
      </c>
      <c r="C13" s="136">
        <v>3</v>
      </c>
      <c r="D13" s="130"/>
      <c r="E13" s="131"/>
      <c r="F13" s="132"/>
      <c r="G13" s="133"/>
      <c r="I13" s="131"/>
      <c r="J13" s="132"/>
      <c r="K13" s="133"/>
      <c r="M13" s="131"/>
      <c r="N13" s="132"/>
      <c r="O13" s="133"/>
    </row>
    <row r="14" ht="15.75" spans="1:15">
      <c r="A14" s="134"/>
      <c r="B14" s="135" t="s">
        <v>20</v>
      </c>
      <c r="C14" s="136">
        <v>4</v>
      </c>
      <c r="D14" s="130"/>
      <c r="E14" s="131"/>
      <c r="F14" s="132"/>
      <c r="G14" s="133"/>
      <c r="I14" s="131"/>
      <c r="J14" s="132"/>
      <c r="K14" s="133"/>
      <c r="M14" s="131"/>
      <c r="N14" s="132"/>
      <c r="O14" s="133"/>
    </row>
    <row r="15" ht="15.75" spans="1:15">
      <c r="A15" s="134"/>
      <c r="B15" s="135" t="s">
        <v>21</v>
      </c>
      <c r="C15" s="136">
        <v>3840</v>
      </c>
      <c r="D15" s="130"/>
      <c r="E15" s="131"/>
      <c r="F15" s="132"/>
      <c r="G15" s="133"/>
      <c r="I15" s="131"/>
      <c r="J15" s="132"/>
      <c r="K15" s="133"/>
      <c r="M15" s="131"/>
      <c r="N15" s="132"/>
      <c r="O15" s="133"/>
    </row>
    <row r="16" s="19" customFormat="1" ht="15.75" spans="1:15">
      <c r="A16" s="137"/>
      <c r="B16" s="135" t="s">
        <v>22</v>
      </c>
      <c r="C16" s="136">
        <v>2160</v>
      </c>
      <c r="D16" s="130"/>
      <c r="E16" s="131"/>
      <c r="F16" s="132"/>
      <c r="G16" s="133"/>
      <c r="I16" s="131"/>
      <c r="J16" s="132"/>
      <c r="K16" s="133"/>
      <c r="M16" s="131"/>
      <c r="N16" s="132"/>
      <c r="O16" s="133"/>
    </row>
    <row r="17" s="19" customFormat="1" ht="15.75" spans="1:15">
      <c r="A17" s="137"/>
      <c r="B17" s="135" t="s">
        <v>23</v>
      </c>
      <c r="C17" s="136">
        <v>1</v>
      </c>
      <c r="D17" s="130"/>
      <c r="E17" s="131"/>
      <c r="F17" s="132"/>
      <c r="G17" s="133"/>
      <c r="I17" s="131"/>
      <c r="J17" s="132"/>
      <c r="K17" s="133"/>
      <c r="M17" s="131"/>
      <c r="N17" s="132"/>
      <c r="O17" s="133"/>
    </row>
    <row r="18" s="19" customFormat="1" ht="15.75" spans="1:15">
      <c r="A18" s="137"/>
      <c r="B18" s="135" t="s">
        <v>24</v>
      </c>
      <c r="C18" s="136">
        <v>0</v>
      </c>
      <c r="D18" s="130"/>
      <c r="E18" s="131"/>
      <c r="F18" s="132"/>
      <c r="G18" s="133"/>
      <c r="I18" s="131"/>
      <c r="J18" s="132"/>
      <c r="K18" s="133"/>
      <c r="M18" s="131"/>
      <c r="N18" s="132"/>
      <c r="O18" s="133"/>
    </row>
    <row r="19" s="19" customFormat="1" ht="15.75" spans="1:15">
      <c r="A19" s="137"/>
      <c r="B19" s="135" t="s">
        <v>25</v>
      </c>
      <c r="C19" s="136">
        <v>4</v>
      </c>
      <c r="D19" s="130"/>
      <c r="E19" s="131"/>
      <c r="F19" s="132"/>
      <c r="G19" s="133"/>
      <c r="I19" s="131"/>
      <c r="J19" s="132"/>
      <c r="K19" s="133"/>
      <c r="M19" s="131"/>
      <c r="N19" s="132"/>
      <c r="O19" s="133"/>
    </row>
    <row r="20" s="19" customFormat="1" ht="15.75" spans="1:15">
      <c r="A20" s="137"/>
      <c r="B20" s="135" t="s">
        <v>26</v>
      </c>
      <c r="C20" s="136">
        <v>1.125</v>
      </c>
      <c r="D20" s="130"/>
      <c r="E20" s="131"/>
      <c r="F20" s="132"/>
      <c r="G20" s="133"/>
      <c r="I20" s="131"/>
      <c r="J20" s="132"/>
      <c r="K20" s="133"/>
      <c r="M20" s="131"/>
      <c r="N20" s="132"/>
      <c r="O20" s="133"/>
    </row>
    <row r="21" s="19" customFormat="1" ht="15.75" spans="1:15">
      <c r="A21" s="137"/>
      <c r="B21" s="135" t="s">
        <v>27</v>
      </c>
      <c r="C21" s="136">
        <v>0</v>
      </c>
      <c r="D21" s="130"/>
      <c r="E21" s="131"/>
      <c r="F21" s="132"/>
      <c r="G21" s="133"/>
      <c r="I21" s="131"/>
      <c r="J21" s="132"/>
      <c r="K21" s="133"/>
      <c r="M21" s="131"/>
      <c r="N21" s="132"/>
      <c r="O21" s="133"/>
    </row>
    <row r="22" s="19" customFormat="1" ht="16.5" spans="1:15">
      <c r="A22" s="138"/>
      <c r="B22" s="139" t="s">
        <v>28</v>
      </c>
      <c r="C22" s="140">
        <v>2</v>
      </c>
      <c r="D22" s="130"/>
      <c r="E22" s="131"/>
      <c r="F22" s="132"/>
      <c r="G22" s="133"/>
      <c r="I22" s="131"/>
      <c r="J22" s="132"/>
      <c r="K22" s="133"/>
      <c r="M22" s="131"/>
      <c r="N22" s="132"/>
      <c r="O22" s="133"/>
    </row>
    <row r="23" ht="16.15" customHeight="1" spans="1:15">
      <c r="A23" s="127" t="s">
        <v>29</v>
      </c>
      <c r="B23" s="128" t="s">
        <v>14</v>
      </c>
      <c r="C23" s="129">
        <v>0</v>
      </c>
      <c r="D23" s="105"/>
      <c r="E23" s="131"/>
      <c r="F23" s="132"/>
      <c r="G23" s="133"/>
      <c r="I23" s="131"/>
      <c r="J23" s="132"/>
      <c r="K23" s="133"/>
      <c r="M23" s="131"/>
      <c r="N23" s="132"/>
      <c r="O23" s="133"/>
    </row>
    <row r="24" s="19" customFormat="1" ht="16.15" customHeight="1" spans="1:15">
      <c r="A24" s="134"/>
      <c r="B24" s="135" t="s">
        <v>15</v>
      </c>
      <c r="C24" s="136">
        <v>1</v>
      </c>
      <c r="D24" s="105"/>
      <c r="E24" s="131"/>
      <c r="F24" s="132"/>
      <c r="G24" s="133"/>
      <c r="I24" s="131"/>
      <c r="J24" s="132"/>
      <c r="K24" s="133"/>
      <c r="M24" s="131"/>
      <c r="N24" s="132"/>
      <c r="O24" s="133"/>
    </row>
    <row r="25" s="19" customFormat="1" ht="16.15" customHeight="1" spans="1:15">
      <c r="A25" s="134"/>
      <c r="B25" s="135" t="s">
        <v>16</v>
      </c>
      <c r="C25" s="136">
        <v>2</v>
      </c>
      <c r="D25" s="105"/>
      <c r="E25" s="131"/>
      <c r="F25" s="132"/>
      <c r="G25" s="133"/>
      <c r="I25" s="131"/>
      <c r="J25" s="132"/>
      <c r="K25" s="133"/>
      <c r="M25" s="131"/>
      <c r="N25" s="132"/>
      <c r="O25" s="133"/>
    </row>
    <row r="26" ht="15.75" spans="1:15">
      <c r="A26" s="134"/>
      <c r="B26" s="135" t="s">
        <v>17</v>
      </c>
      <c r="C26" s="136">
        <v>720</v>
      </c>
      <c r="D26" s="130"/>
      <c r="E26" s="131"/>
      <c r="F26" s="132"/>
      <c r="G26" s="133"/>
      <c r="I26" s="131"/>
      <c r="J26" s="132"/>
      <c r="K26" s="133"/>
      <c r="M26" s="131"/>
      <c r="N26" s="132"/>
      <c r="O26" s="133"/>
    </row>
    <row r="27" ht="15.75" spans="1:15">
      <c r="A27" s="134"/>
      <c r="B27" s="135" t="s">
        <v>18</v>
      </c>
      <c r="C27" s="136">
        <v>576</v>
      </c>
      <c r="D27" s="130"/>
      <c r="E27" s="131"/>
      <c r="F27" s="132"/>
      <c r="G27" s="133"/>
      <c r="I27" s="131"/>
      <c r="J27" s="132"/>
      <c r="K27" s="133"/>
      <c r="M27" s="131"/>
      <c r="N27" s="132"/>
      <c r="O27" s="133"/>
    </row>
    <row r="28" s="19" customFormat="1" ht="15.75" spans="1:15">
      <c r="A28" s="137"/>
      <c r="B28" s="135" t="s">
        <v>19</v>
      </c>
      <c r="C28" s="136">
        <v>3</v>
      </c>
      <c r="D28" s="130"/>
      <c r="E28" s="131"/>
      <c r="F28" s="132"/>
      <c r="G28" s="133"/>
      <c r="I28" s="131"/>
      <c r="J28" s="132"/>
      <c r="K28" s="133"/>
      <c r="M28" s="131"/>
      <c r="N28" s="132"/>
      <c r="O28" s="133"/>
    </row>
    <row r="29" s="19" customFormat="1" ht="15.75" spans="1:15">
      <c r="A29" s="137"/>
      <c r="B29" s="135" t="s">
        <v>20</v>
      </c>
      <c r="C29" s="136">
        <v>2</v>
      </c>
      <c r="D29" s="130"/>
      <c r="E29" s="131"/>
      <c r="F29" s="132"/>
      <c r="G29" s="133"/>
      <c r="I29" s="131"/>
      <c r="J29" s="132"/>
      <c r="K29" s="133"/>
      <c r="M29" s="131"/>
      <c r="N29" s="132"/>
      <c r="O29" s="133"/>
    </row>
    <row r="30" s="19" customFormat="1" ht="15.75" spans="1:15">
      <c r="A30" s="137"/>
      <c r="B30" s="135" t="s">
        <v>21</v>
      </c>
      <c r="C30" s="136">
        <v>720</v>
      </c>
      <c r="D30" s="130"/>
      <c r="E30" s="131"/>
      <c r="F30" s="132"/>
      <c r="G30" s="133"/>
      <c r="I30" s="131"/>
      <c r="J30" s="132"/>
      <c r="K30" s="133"/>
      <c r="M30" s="131"/>
      <c r="N30" s="132"/>
      <c r="O30" s="133"/>
    </row>
    <row r="31" s="19" customFormat="1" ht="15.75" spans="1:15">
      <c r="A31" s="137"/>
      <c r="B31" s="135" t="s">
        <v>22</v>
      </c>
      <c r="C31" s="136">
        <v>576</v>
      </c>
      <c r="D31" s="130"/>
      <c r="E31" s="131"/>
      <c r="F31" s="132"/>
      <c r="G31" s="133"/>
      <c r="I31" s="131"/>
      <c r="J31" s="132"/>
      <c r="K31" s="133"/>
      <c r="M31" s="131"/>
      <c r="N31" s="132"/>
      <c r="O31" s="133"/>
    </row>
    <row r="32" s="19" customFormat="1" ht="15.75" spans="1:15">
      <c r="A32" s="137"/>
      <c r="B32" s="135" t="s">
        <v>23</v>
      </c>
      <c r="C32" s="136">
        <v>0</v>
      </c>
      <c r="D32" s="130"/>
      <c r="E32" s="131"/>
      <c r="F32" s="132"/>
      <c r="G32" s="133"/>
      <c r="I32" s="131"/>
      <c r="J32" s="132"/>
      <c r="K32" s="133"/>
      <c r="M32" s="131"/>
      <c r="N32" s="132"/>
      <c r="O32" s="133"/>
    </row>
    <row r="33" s="19" customFormat="1" ht="15.75" spans="1:15">
      <c r="A33" s="137"/>
      <c r="B33" s="135" t="s">
        <v>24</v>
      </c>
      <c r="C33" s="136">
        <v>0</v>
      </c>
      <c r="D33" s="130"/>
      <c r="E33" s="131"/>
      <c r="F33" s="132"/>
      <c r="G33" s="133"/>
      <c r="I33" s="131"/>
      <c r="J33" s="132"/>
      <c r="K33" s="133"/>
      <c r="M33" s="131"/>
      <c r="N33" s="132"/>
      <c r="O33" s="133"/>
    </row>
    <row r="34" s="19" customFormat="1" ht="15.75" spans="1:15">
      <c r="A34" s="137"/>
      <c r="B34" s="135" t="s">
        <v>25</v>
      </c>
      <c r="C34" s="136">
        <v>4</v>
      </c>
      <c r="D34" s="130"/>
      <c r="E34" s="131"/>
      <c r="F34" s="132"/>
      <c r="G34" s="133"/>
      <c r="I34" s="131"/>
      <c r="J34" s="132"/>
      <c r="K34" s="133"/>
      <c r="M34" s="131"/>
      <c r="N34" s="132"/>
      <c r="O34" s="133"/>
    </row>
    <row r="35" s="19" customFormat="1" ht="15.75" spans="1:15">
      <c r="A35" s="137"/>
      <c r="B35" s="135" t="s">
        <v>26</v>
      </c>
      <c r="C35" s="136">
        <v>1.125</v>
      </c>
      <c r="D35" s="130"/>
      <c r="E35" s="131"/>
      <c r="F35" s="132"/>
      <c r="G35" s="133"/>
      <c r="I35" s="131"/>
      <c r="J35" s="132"/>
      <c r="K35" s="133"/>
      <c r="M35" s="131"/>
      <c r="N35" s="132"/>
      <c r="O35" s="133"/>
    </row>
    <row r="36" s="19" customFormat="1" ht="15.75" spans="1:15">
      <c r="A36" s="137"/>
      <c r="B36" s="135" t="s">
        <v>27</v>
      </c>
      <c r="C36" s="136">
        <v>0</v>
      </c>
      <c r="D36" s="130"/>
      <c r="E36" s="131"/>
      <c r="F36" s="132"/>
      <c r="G36" s="133"/>
      <c r="I36" s="131"/>
      <c r="J36" s="132"/>
      <c r="K36" s="133"/>
      <c r="M36" s="131"/>
      <c r="N36" s="132"/>
      <c r="O36" s="133"/>
    </row>
    <row r="37" s="19" customFormat="1" ht="16.5" spans="1:15">
      <c r="A37" s="138"/>
      <c r="B37" s="139" t="s">
        <v>28</v>
      </c>
      <c r="C37" s="140">
        <v>2</v>
      </c>
      <c r="D37" s="130"/>
      <c r="E37" s="131"/>
      <c r="F37" s="132"/>
      <c r="G37" s="133"/>
      <c r="I37" s="131"/>
      <c r="J37" s="132"/>
      <c r="K37" s="133"/>
      <c r="M37" s="131"/>
      <c r="N37" s="132"/>
      <c r="O37" s="133"/>
    </row>
    <row r="38" ht="16.15" customHeight="1" spans="1:15">
      <c r="A38" s="127" t="s">
        <v>30</v>
      </c>
      <c r="B38" s="128" t="s">
        <v>14</v>
      </c>
      <c r="C38" s="129">
        <v>0</v>
      </c>
      <c r="E38" s="131"/>
      <c r="F38" s="132"/>
      <c r="G38" s="133"/>
      <c r="I38" s="131"/>
      <c r="J38" s="132"/>
      <c r="K38" s="133"/>
      <c r="M38" s="131"/>
      <c r="N38" s="132"/>
      <c r="O38" s="133"/>
    </row>
    <row r="39" ht="15.75" spans="1:15">
      <c r="A39" s="134"/>
      <c r="B39" s="135" t="s">
        <v>15</v>
      </c>
      <c r="C39" s="136">
        <v>1</v>
      </c>
      <c r="E39" s="131"/>
      <c r="F39" s="132"/>
      <c r="G39" s="133"/>
      <c r="I39" s="131"/>
      <c r="J39" s="132"/>
      <c r="K39" s="133"/>
      <c r="M39" s="131"/>
      <c r="N39" s="132"/>
      <c r="O39" s="133"/>
    </row>
    <row r="40" ht="15.75" spans="1:15">
      <c r="A40" s="134"/>
      <c r="B40" s="135" t="s">
        <v>16</v>
      </c>
      <c r="C40" s="136">
        <v>2</v>
      </c>
      <c r="E40" s="131"/>
      <c r="F40" s="132"/>
      <c r="G40" s="133"/>
      <c r="I40" s="131"/>
      <c r="J40" s="132"/>
      <c r="K40" s="133"/>
      <c r="M40" s="131"/>
      <c r="N40" s="132"/>
      <c r="O40" s="133"/>
    </row>
    <row r="41" s="19" customFormat="1" ht="15.75" spans="1:15">
      <c r="A41" s="134"/>
      <c r="B41" s="135" t="s">
        <v>17</v>
      </c>
      <c r="C41" s="136">
        <v>720</v>
      </c>
      <c r="E41" s="131"/>
      <c r="F41" s="132"/>
      <c r="G41" s="133"/>
      <c r="I41" s="131"/>
      <c r="J41" s="132"/>
      <c r="K41" s="133"/>
      <c r="M41" s="131"/>
      <c r="N41" s="132"/>
      <c r="O41" s="133"/>
    </row>
    <row r="42" s="19" customFormat="1" ht="15.75" spans="1:15">
      <c r="A42" s="134"/>
      <c r="B42" s="135" t="s">
        <v>18</v>
      </c>
      <c r="C42" s="136">
        <v>576</v>
      </c>
      <c r="E42" s="131"/>
      <c r="F42" s="132"/>
      <c r="G42" s="133"/>
      <c r="I42" s="131"/>
      <c r="J42" s="132"/>
      <c r="K42" s="133"/>
      <c r="M42" s="131"/>
      <c r="N42" s="132"/>
      <c r="O42" s="133"/>
    </row>
    <row r="43" s="19" customFormat="1" ht="15.75" spans="1:15">
      <c r="A43" s="137"/>
      <c r="B43" s="135" t="s">
        <v>19</v>
      </c>
      <c r="C43" s="136">
        <v>3</v>
      </c>
      <c r="E43" s="131"/>
      <c r="F43" s="132"/>
      <c r="G43" s="133"/>
      <c r="I43" s="131"/>
      <c r="J43" s="132"/>
      <c r="K43" s="133"/>
      <c r="M43" s="131"/>
      <c r="N43" s="132"/>
      <c r="O43" s="133"/>
    </row>
    <row r="44" s="19" customFormat="1" ht="15.75" spans="1:15">
      <c r="A44" s="137"/>
      <c r="B44" s="135" t="s">
        <v>20</v>
      </c>
      <c r="C44" s="136">
        <v>2</v>
      </c>
      <c r="E44" s="131"/>
      <c r="F44" s="132"/>
      <c r="G44" s="133"/>
      <c r="I44" s="131"/>
      <c r="J44" s="132"/>
      <c r="K44" s="133"/>
      <c r="M44" s="131"/>
      <c r="N44" s="132"/>
      <c r="O44" s="133"/>
    </row>
    <row r="45" s="19" customFormat="1" ht="15.75" spans="1:15">
      <c r="A45" s="137"/>
      <c r="B45" s="135" t="s">
        <v>21</v>
      </c>
      <c r="C45" s="136">
        <v>720</v>
      </c>
      <c r="E45" s="131"/>
      <c r="F45" s="132"/>
      <c r="G45" s="133"/>
      <c r="I45" s="131"/>
      <c r="J45" s="132"/>
      <c r="K45" s="133"/>
      <c r="M45" s="131"/>
      <c r="N45" s="132"/>
      <c r="O45" s="133"/>
    </row>
    <row r="46" s="19" customFormat="1" ht="15.75" spans="1:15">
      <c r="A46" s="137"/>
      <c r="B46" s="135" t="s">
        <v>22</v>
      </c>
      <c r="C46" s="136">
        <v>576</v>
      </c>
      <c r="E46" s="131"/>
      <c r="F46" s="132"/>
      <c r="G46" s="133"/>
      <c r="I46" s="131"/>
      <c r="J46" s="132"/>
      <c r="K46" s="133"/>
      <c r="M46" s="131"/>
      <c r="N46" s="132"/>
      <c r="O46" s="133"/>
    </row>
    <row r="47" s="19" customFormat="1" ht="15.75" spans="1:15">
      <c r="A47" s="137"/>
      <c r="B47" s="135" t="s">
        <v>23</v>
      </c>
      <c r="C47" s="136">
        <v>0</v>
      </c>
      <c r="E47" s="131"/>
      <c r="F47" s="132"/>
      <c r="G47" s="133"/>
      <c r="I47" s="131"/>
      <c r="J47" s="132"/>
      <c r="K47" s="133"/>
      <c r="M47" s="131"/>
      <c r="N47" s="132"/>
      <c r="O47" s="133"/>
    </row>
    <row r="48" s="19" customFormat="1" ht="15.75" spans="1:15">
      <c r="A48" s="137"/>
      <c r="B48" s="135" t="s">
        <v>24</v>
      </c>
      <c r="C48" s="136">
        <v>0</v>
      </c>
      <c r="E48" s="131"/>
      <c r="F48" s="132"/>
      <c r="G48" s="133"/>
      <c r="I48" s="131"/>
      <c r="J48" s="132"/>
      <c r="K48" s="133"/>
      <c r="M48" s="131"/>
      <c r="N48" s="132"/>
      <c r="O48" s="133"/>
    </row>
    <row r="49" s="19" customFormat="1" ht="15.75" spans="1:15">
      <c r="A49" s="137"/>
      <c r="B49" s="135" t="s">
        <v>25</v>
      </c>
      <c r="C49" s="136">
        <v>4</v>
      </c>
      <c r="E49" s="131"/>
      <c r="F49" s="132"/>
      <c r="G49" s="133"/>
      <c r="I49" s="131"/>
      <c r="J49" s="132"/>
      <c r="K49" s="133"/>
      <c r="M49" s="131"/>
      <c r="N49" s="132"/>
      <c r="O49" s="133"/>
    </row>
    <row r="50" s="19" customFormat="1" ht="15.75" spans="1:15">
      <c r="A50" s="137"/>
      <c r="B50" s="135" t="s">
        <v>26</v>
      </c>
      <c r="C50" s="136">
        <v>1.125</v>
      </c>
      <c r="E50" s="131"/>
      <c r="F50" s="132"/>
      <c r="G50" s="133"/>
      <c r="I50" s="131"/>
      <c r="J50" s="132"/>
      <c r="K50" s="133"/>
      <c r="M50" s="131"/>
      <c r="N50" s="132"/>
      <c r="O50" s="133"/>
    </row>
    <row r="51" s="19" customFormat="1" ht="15.75" spans="1:15">
      <c r="A51" s="137"/>
      <c r="B51" s="135" t="s">
        <v>27</v>
      </c>
      <c r="C51" s="136">
        <v>1</v>
      </c>
      <c r="E51" s="131"/>
      <c r="F51" s="132"/>
      <c r="G51" s="133"/>
      <c r="I51" s="131"/>
      <c r="J51" s="132"/>
      <c r="K51" s="133"/>
      <c r="M51" s="131"/>
      <c r="N51" s="132"/>
      <c r="O51" s="133"/>
    </row>
    <row r="52" s="19" customFormat="1" ht="16.5" spans="1:16">
      <c r="A52" s="138"/>
      <c r="B52" s="139" t="s">
        <v>28</v>
      </c>
      <c r="C52" s="140">
        <v>2</v>
      </c>
      <c r="E52" s="131"/>
      <c r="F52" s="132"/>
      <c r="G52" s="132"/>
      <c r="H52" s="141"/>
      <c r="I52" s="150"/>
      <c r="J52" s="132"/>
      <c r="K52" s="132"/>
      <c r="L52" s="141"/>
      <c r="M52" s="150"/>
      <c r="N52" s="132"/>
      <c r="O52" s="132"/>
      <c r="P52" s="151"/>
    </row>
    <row r="53" ht="15.75" spans="1:15">
      <c r="A53" s="142" t="s">
        <v>31</v>
      </c>
      <c r="B53" s="143" t="s">
        <v>32</v>
      </c>
      <c r="C53" s="144">
        <v>8</v>
      </c>
      <c r="E53" s="142" t="s">
        <v>31</v>
      </c>
      <c r="F53" s="143" t="s">
        <v>32</v>
      </c>
      <c r="G53" s="144">
        <v>4</v>
      </c>
      <c r="I53" s="152" t="s">
        <v>31</v>
      </c>
      <c r="J53" s="143" t="s">
        <v>32</v>
      </c>
      <c r="K53" s="144">
        <v>4</v>
      </c>
      <c r="M53" s="152" t="s">
        <v>31</v>
      </c>
      <c r="N53" s="143" t="s">
        <v>32</v>
      </c>
      <c r="O53" s="144">
        <v>4</v>
      </c>
    </row>
    <row r="54" ht="15.75" spans="1:15">
      <c r="A54" s="145"/>
      <c r="B54" s="146" t="s">
        <v>33</v>
      </c>
      <c r="C54" s="147">
        <v>1920</v>
      </c>
      <c r="E54" s="145"/>
      <c r="F54" s="146" t="s">
        <v>33</v>
      </c>
      <c r="G54" s="147">
        <v>1920</v>
      </c>
      <c r="I54" s="153"/>
      <c r="J54" s="146" t="s">
        <v>33</v>
      </c>
      <c r="K54" s="147">
        <v>1920</v>
      </c>
      <c r="M54" s="153"/>
      <c r="N54" s="146" t="s">
        <v>33</v>
      </c>
      <c r="O54" s="147">
        <v>1920</v>
      </c>
    </row>
    <row r="55" ht="15.75" spans="1:15">
      <c r="A55" s="145"/>
      <c r="B55" s="146" t="s">
        <v>34</v>
      </c>
      <c r="C55" s="147">
        <v>1080</v>
      </c>
      <c r="E55" s="145"/>
      <c r="F55" s="146" t="s">
        <v>34</v>
      </c>
      <c r="G55" s="147">
        <v>1080</v>
      </c>
      <c r="I55" s="153"/>
      <c r="J55" s="146" t="s">
        <v>34</v>
      </c>
      <c r="K55" s="147">
        <v>1080</v>
      </c>
      <c r="M55" s="153"/>
      <c r="N55" s="146" t="s">
        <v>34</v>
      </c>
      <c r="O55" s="147">
        <v>1080</v>
      </c>
    </row>
    <row r="56" s="19" customFormat="1" ht="15.75" spans="1:15">
      <c r="A56" s="145"/>
      <c r="B56" s="146" t="s">
        <v>35</v>
      </c>
      <c r="C56" s="147">
        <v>2</v>
      </c>
      <c r="E56" s="145"/>
      <c r="F56" s="146" t="s">
        <v>35</v>
      </c>
      <c r="G56" s="147">
        <v>4</v>
      </c>
      <c r="I56" s="153"/>
      <c r="J56" s="146" t="s">
        <v>35</v>
      </c>
      <c r="K56" s="147">
        <v>4</v>
      </c>
      <c r="M56" s="153"/>
      <c r="N56" s="146" t="s">
        <v>35</v>
      </c>
      <c r="O56" s="147">
        <v>4</v>
      </c>
    </row>
    <row r="57" s="19" customFormat="1" ht="15.75" spans="1:15">
      <c r="A57" s="145"/>
      <c r="B57" s="146" t="s">
        <v>36</v>
      </c>
      <c r="C57" s="147">
        <v>8192</v>
      </c>
      <c r="E57" s="145"/>
      <c r="F57" s="146" t="s">
        <v>37</v>
      </c>
      <c r="G57" s="147">
        <f>C57</f>
        <v>8192</v>
      </c>
      <c r="I57" s="153"/>
      <c r="J57" s="146" t="s">
        <v>37</v>
      </c>
      <c r="K57" s="147">
        <f>C57</f>
        <v>8192</v>
      </c>
      <c r="M57" s="153"/>
      <c r="N57" s="146" t="s">
        <v>37</v>
      </c>
      <c r="O57" s="147">
        <f>C57</f>
        <v>8192</v>
      </c>
    </row>
    <row r="58" s="19" customFormat="1" ht="15.75" spans="1:15">
      <c r="A58" s="145"/>
      <c r="B58" s="146" t="s">
        <v>38</v>
      </c>
      <c r="C58" s="147">
        <v>0.3</v>
      </c>
      <c r="E58" s="145"/>
      <c r="F58" s="146" t="s">
        <v>38</v>
      </c>
      <c r="G58" s="147">
        <f>C58</f>
        <v>0.3</v>
      </c>
      <c r="I58" s="153"/>
      <c r="J58" s="146" t="s">
        <v>38</v>
      </c>
      <c r="K58" s="147">
        <f>C58</f>
        <v>0.3</v>
      </c>
      <c r="M58" s="153"/>
      <c r="N58" s="146" t="s">
        <v>38</v>
      </c>
      <c r="O58" s="147">
        <f>C58</f>
        <v>0.3</v>
      </c>
    </row>
    <row r="59" s="19" customFormat="1" ht="15.75" spans="1:15">
      <c r="A59" s="145"/>
      <c r="B59" s="146" t="s">
        <v>39</v>
      </c>
      <c r="C59" s="147">
        <v>2</v>
      </c>
      <c r="E59" s="145"/>
      <c r="F59" s="146" t="s">
        <v>39</v>
      </c>
      <c r="G59" s="147">
        <f>C59</f>
        <v>2</v>
      </c>
      <c r="I59" s="153"/>
      <c r="J59" s="146" t="s">
        <v>39</v>
      </c>
      <c r="K59" s="147">
        <f>C59</f>
        <v>2</v>
      </c>
      <c r="M59" s="153"/>
      <c r="N59" s="146" t="s">
        <v>39</v>
      </c>
      <c r="O59" s="147">
        <f>C59</f>
        <v>2</v>
      </c>
    </row>
    <row r="60" s="19" customFormat="1" ht="15.75" spans="1:15">
      <c r="A60" s="137"/>
      <c r="B60" s="146" t="s">
        <v>40</v>
      </c>
      <c r="C60" s="147">
        <v>7</v>
      </c>
      <c r="E60" s="137"/>
      <c r="F60" s="146" t="s">
        <v>40</v>
      </c>
      <c r="G60" s="147">
        <v>7</v>
      </c>
      <c r="I60" s="154"/>
      <c r="J60" s="148" t="s">
        <v>40</v>
      </c>
      <c r="K60" s="149">
        <v>7</v>
      </c>
      <c r="M60" s="154"/>
      <c r="N60" s="148" t="s">
        <v>40</v>
      </c>
      <c r="O60" s="149">
        <v>7</v>
      </c>
    </row>
    <row r="61" s="19" customFormat="1" ht="15.75" spans="1:15">
      <c r="A61" s="137"/>
      <c r="B61" s="146" t="s">
        <v>41</v>
      </c>
      <c r="C61" s="147">
        <v>1920</v>
      </c>
      <c r="E61" s="137"/>
      <c r="F61" s="146" t="s">
        <v>42</v>
      </c>
      <c r="G61" s="147">
        <f>C61</f>
        <v>1920</v>
      </c>
      <c r="I61" s="154"/>
      <c r="J61" s="146" t="s">
        <v>42</v>
      </c>
      <c r="K61" s="147">
        <f>C61</f>
        <v>1920</v>
      </c>
      <c r="M61" s="154"/>
      <c r="N61" s="146" t="s">
        <v>42</v>
      </c>
      <c r="O61" s="147">
        <f>C61</f>
        <v>1920</v>
      </c>
    </row>
    <row r="62" s="19" customFormat="1" ht="16.5" spans="1:15">
      <c r="A62" s="138"/>
      <c r="B62" s="148" t="s">
        <v>43</v>
      </c>
      <c r="C62" s="149">
        <v>1080</v>
      </c>
      <c r="E62" s="138"/>
      <c r="F62" s="148" t="s">
        <v>44</v>
      </c>
      <c r="G62" s="149">
        <f>C62</f>
        <v>1080</v>
      </c>
      <c r="I62" s="154"/>
      <c r="J62" s="148" t="s">
        <v>44</v>
      </c>
      <c r="K62" s="149">
        <f>C62</f>
        <v>1080</v>
      </c>
      <c r="M62" s="154"/>
      <c r="N62" s="148" t="s">
        <v>44</v>
      </c>
      <c r="O62" s="149">
        <f>C62</f>
        <v>1080</v>
      </c>
    </row>
    <row r="63" ht="15.75" spans="1:15">
      <c r="A63" s="142" t="s">
        <v>45</v>
      </c>
      <c r="B63" s="143" t="s">
        <v>32</v>
      </c>
      <c r="C63" s="144">
        <v>1</v>
      </c>
      <c r="E63" s="142" t="s">
        <v>45</v>
      </c>
      <c r="F63" s="143" t="s">
        <v>32</v>
      </c>
      <c r="G63" s="144">
        <v>0</v>
      </c>
      <c r="I63" s="142" t="s">
        <v>45</v>
      </c>
      <c r="J63" s="143" t="s">
        <v>32</v>
      </c>
      <c r="K63" s="144">
        <v>0</v>
      </c>
      <c r="M63" s="142" t="s">
        <v>45</v>
      </c>
      <c r="N63" s="143" t="s">
        <v>32</v>
      </c>
      <c r="O63" s="144">
        <v>0</v>
      </c>
    </row>
    <row r="64" ht="15.75" spans="1:15">
      <c r="A64" s="145"/>
      <c r="B64" s="146" t="s">
        <v>33</v>
      </c>
      <c r="C64" s="147">
        <v>3840</v>
      </c>
      <c r="E64" s="145"/>
      <c r="F64" s="146" t="s">
        <v>33</v>
      </c>
      <c r="G64" s="147">
        <v>2560</v>
      </c>
      <c r="I64" s="145"/>
      <c r="J64" s="146" t="s">
        <v>33</v>
      </c>
      <c r="K64" s="147">
        <v>2560</v>
      </c>
      <c r="M64" s="145"/>
      <c r="N64" s="146" t="s">
        <v>33</v>
      </c>
      <c r="O64" s="147">
        <v>2560</v>
      </c>
    </row>
    <row r="65" ht="15.75" spans="1:15">
      <c r="A65" s="145"/>
      <c r="B65" s="146" t="s">
        <v>34</v>
      </c>
      <c r="C65" s="147">
        <v>2160</v>
      </c>
      <c r="E65" s="145"/>
      <c r="F65" s="146" t="s">
        <v>34</v>
      </c>
      <c r="G65" s="147">
        <v>1440</v>
      </c>
      <c r="I65" s="145"/>
      <c r="J65" s="146" t="s">
        <v>34</v>
      </c>
      <c r="K65" s="147">
        <v>1440</v>
      </c>
      <c r="M65" s="145"/>
      <c r="N65" s="146" t="s">
        <v>34</v>
      </c>
      <c r="O65" s="147">
        <v>1440</v>
      </c>
    </row>
    <row r="66" ht="15.75" spans="1:15">
      <c r="A66" s="145"/>
      <c r="B66" s="146" t="s">
        <v>35</v>
      </c>
      <c r="C66" s="147">
        <v>2</v>
      </c>
      <c r="E66" s="145"/>
      <c r="F66" s="146" t="s">
        <v>35</v>
      </c>
      <c r="G66" s="147">
        <v>4</v>
      </c>
      <c r="I66" s="145"/>
      <c r="J66" s="146" t="s">
        <v>35</v>
      </c>
      <c r="K66" s="147">
        <v>4</v>
      </c>
      <c r="M66" s="145"/>
      <c r="N66" s="146" t="s">
        <v>35</v>
      </c>
      <c r="O66" s="147">
        <v>4</v>
      </c>
    </row>
    <row r="67" s="19" customFormat="1" ht="15.75" spans="1:15">
      <c r="A67" s="137"/>
      <c r="B67" s="146" t="s">
        <v>36</v>
      </c>
      <c r="C67" s="147">
        <v>8192</v>
      </c>
      <c r="E67" s="137"/>
      <c r="F67" s="146" t="s">
        <v>37</v>
      </c>
      <c r="G67" s="147">
        <f t="shared" ref="G67:G74" si="0">C67</f>
        <v>8192</v>
      </c>
      <c r="I67" s="137"/>
      <c r="J67" s="146" t="s">
        <v>37</v>
      </c>
      <c r="K67" s="147">
        <f t="shared" ref="K67:K74" si="1">C67</f>
        <v>8192</v>
      </c>
      <c r="M67" s="137"/>
      <c r="N67" s="146" t="s">
        <v>37</v>
      </c>
      <c r="O67" s="147">
        <f t="shared" ref="O67:O74" si="2">C67</f>
        <v>8192</v>
      </c>
    </row>
    <row r="68" s="19" customFormat="1" ht="15.75" spans="1:15">
      <c r="A68" s="137"/>
      <c r="B68" s="146" t="s">
        <v>38</v>
      </c>
      <c r="C68" s="147">
        <v>0.3</v>
      </c>
      <c r="E68" s="137"/>
      <c r="F68" s="146" t="s">
        <v>38</v>
      </c>
      <c r="G68" s="147">
        <f t="shared" si="0"/>
        <v>0.3</v>
      </c>
      <c r="I68" s="137"/>
      <c r="J68" s="146" t="s">
        <v>38</v>
      </c>
      <c r="K68" s="147">
        <f t="shared" si="1"/>
        <v>0.3</v>
      </c>
      <c r="M68" s="137"/>
      <c r="N68" s="146" t="s">
        <v>38</v>
      </c>
      <c r="O68" s="147">
        <f t="shared" si="2"/>
        <v>0.3</v>
      </c>
    </row>
    <row r="69" s="19" customFormat="1" ht="15.75" spans="1:15">
      <c r="A69" s="137"/>
      <c r="B69" s="146" t="s">
        <v>39</v>
      </c>
      <c r="C69" s="147">
        <v>2</v>
      </c>
      <c r="E69" s="137"/>
      <c r="F69" s="146" t="s">
        <v>39</v>
      </c>
      <c r="G69" s="147">
        <f t="shared" si="0"/>
        <v>2</v>
      </c>
      <c r="I69" s="137"/>
      <c r="J69" s="146" t="s">
        <v>39</v>
      </c>
      <c r="K69" s="147">
        <f t="shared" si="1"/>
        <v>2</v>
      </c>
      <c r="M69" s="137"/>
      <c r="N69" s="146" t="s">
        <v>39</v>
      </c>
      <c r="O69" s="147">
        <f t="shared" si="2"/>
        <v>2</v>
      </c>
    </row>
    <row r="70" s="19" customFormat="1" ht="15.75" spans="1:15">
      <c r="A70" s="137"/>
      <c r="B70" s="146" t="s">
        <v>40</v>
      </c>
      <c r="C70" s="147">
        <v>5</v>
      </c>
      <c r="E70" s="137"/>
      <c r="F70" s="146" t="s">
        <v>40</v>
      </c>
      <c r="G70" s="147">
        <f t="shared" si="0"/>
        <v>5</v>
      </c>
      <c r="I70" s="137"/>
      <c r="J70" s="146" t="s">
        <v>40</v>
      </c>
      <c r="K70" s="147">
        <f t="shared" si="1"/>
        <v>5</v>
      </c>
      <c r="M70" s="137"/>
      <c r="N70" s="146" t="s">
        <v>40</v>
      </c>
      <c r="O70" s="147">
        <f t="shared" si="2"/>
        <v>5</v>
      </c>
    </row>
    <row r="71" s="19" customFormat="1" ht="15.75" spans="1:15">
      <c r="A71" s="137"/>
      <c r="B71" s="146" t="s">
        <v>41</v>
      </c>
      <c r="C71" s="147">
        <v>1920</v>
      </c>
      <c r="E71" s="137"/>
      <c r="F71" s="146" t="s">
        <v>41</v>
      </c>
      <c r="G71" s="147">
        <v>2560</v>
      </c>
      <c r="I71" s="137"/>
      <c r="J71" s="146" t="s">
        <v>41</v>
      </c>
      <c r="K71" s="147">
        <f t="shared" si="1"/>
        <v>1920</v>
      </c>
      <c r="M71" s="137"/>
      <c r="N71" s="146" t="s">
        <v>41</v>
      </c>
      <c r="O71" s="147">
        <f t="shared" si="2"/>
        <v>1920</v>
      </c>
    </row>
    <row r="72" s="19" customFormat="1" ht="16.5" spans="1:15">
      <c r="A72" s="155"/>
      <c r="B72" s="156" t="s">
        <v>43</v>
      </c>
      <c r="C72" s="157">
        <v>1080</v>
      </c>
      <c r="E72" s="155"/>
      <c r="F72" s="156" t="s">
        <v>43</v>
      </c>
      <c r="G72" s="157">
        <v>1440</v>
      </c>
      <c r="I72" s="155"/>
      <c r="J72" s="156" t="s">
        <v>43</v>
      </c>
      <c r="K72" s="157">
        <f t="shared" si="1"/>
        <v>1080</v>
      </c>
      <c r="M72" s="155"/>
      <c r="N72" s="156" t="s">
        <v>43</v>
      </c>
      <c r="O72" s="157">
        <f t="shared" si="2"/>
        <v>1080</v>
      </c>
    </row>
    <row r="73" s="19" customFormat="1" ht="15.75" spans="1:15">
      <c r="A73" s="158" t="s">
        <v>46</v>
      </c>
      <c r="B73" s="159" t="s">
        <v>27</v>
      </c>
      <c r="C73" s="160">
        <v>0</v>
      </c>
      <c r="E73" s="158" t="s">
        <v>46</v>
      </c>
      <c r="F73" s="159" t="s">
        <v>27</v>
      </c>
      <c r="G73" s="161">
        <f t="shared" si="0"/>
        <v>0</v>
      </c>
      <c r="I73" s="158" t="s">
        <v>46</v>
      </c>
      <c r="J73" s="159" t="s">
        <v>27</v>
      </c>
      <c r="K73" s="161">
        <f t="shared" si="1"/>
        <v>0</v>
      </c>
      <c r="M73" s="158" t="s">
        <v>46</v>
      </c>
      <c r="N73" s="159" t="s">
        <v>27</v>
      </c>
      <c r="O73" s="161">
        <f t="shared" si="2"/>
        <v>0</v>
      </c>
    </row>
    <row r="74" s="19" customFormat="1" ht="16.5" spans="1:15">
      <c r="A74" s="162"/>
      <c r="B74" s="163" t="s">
        <v>28</v>
      </c>
      <c r="C74" s="164">
        <v>2</v>
      </c>
      <c r="E74" s="162"/>
      <c r="F74" s="163" t="s">
        <v>28</v>
      </c>
      <c r="G74" s="157">
        <f t="shared" si="0"/>
        <v>2</v>
      </c>
      <c r="I74" s="162"/>
      <c r="J74" s="163" t="s">
        <v>28</v>
      </c>
      <c r="K74" s="157">
        <f t="shared" si="1"/>
        <v>2</v>
      </c>
      <c r="M74" s="162"/>
      <c r="N74" s="163" t="s">
        <v>28</v>
      </c>
      <c r="O74" s="157">
        <f t="shared" si="2"/>
        <v>2</v>
      </c>
    </row>
    <row r="75" ht="16.15" customHeight="1" spans="1:15">
      <c r="A75" s="165" t="s">
        <v>47</v>
      </c>
      <c r="B75" s="166" t="s">
        <v>32</v>
      </c>
      <c r="C75" s="144">
        <v>2</v>
      </c>
      <c r="E75" s="167" t="s">
        <v>47</v>
      </c>
      <c r="F75" s="168" t="s">
        <v>32</v>
      </c>
      <c r="G75" s="161">
        <v>4</v>
      </c>
      <c r="I75" s="167" t="s">
        <v>47</v>
      </c>
      <c r="J75" s="168" t="s">
        <v>32</v>
      </c>
      <c r="K75" s="161">
        <v>4</v>
      </c>
      <c r="M75" s="167" t="s">
        <v>47</v>
      </c>
      <c r="N75" s="168" t="s">
        <v>32</v>
      </c>
      <c r="O75" s="161">
        <v>4</v>
      </c>
    </row>
    <row r="76" ht="15.75" spans="1:15">
      <c r="A76" s="169"/>
      <c r="B76" s="170" t="s">
        <v>33</v>
      </c>
      <c r="C76" s="147">
        <v>1920</v>
      </c>
      <c r="E76" s="169"/>
      <c r="F76" s="170" t="s">
        <v>33</v>
      </c>
      <c r="G76" s="147">
        <v>1920</v>
      </c>
      <c r="I76" s="169"/>
      <c r="J76" s="170" t="s">
        <v>33</v>
      </c>
      <c r="K76" s="147">
        <v>1920</v>
      </c>
      <c r="M76" s="169"/>
      <c r="N76" s="170" t="s">
        <v>33</v>
      </c>
      <c r="O76" s="147">
        <v>1920</v>
      </c>
    </row>
    <row r="77" ht="15.75" spans="1:15">
      <c r="A77" s="169"/>
      <c r="B77" s="170" t="s">
        <v>34</v>
      </c>
      <c r="C77" s="147">
        <v>1080</v>
      </c>
      <c r="E77" s="169"/>
      <c r="F77" s="170" t="s">
        <v>34</v>
      </c>
      <c r="G77" s="147">
        <v>1080</v>
      </c>
      <c r="I77" s="169"/>
      <c r="J77" s="170" t="s">
        <v>34</v>
      </c>
      <c r="K77" s="147">
        <v>1080</v>
      </c>
      <c r="M77" s="169"/>
      <c r="N77" s="170" t="s">
        <v>34</v>
      </c>
      <c r="O77" s="147">
        <v>1080</v>
      </c>
    </row>
    <row r="78" ht="15.75" spans="1:15">
      <c r="A78" s="169"/>
      <c r="B78" s="170" t="s">
        <v>35</v>
      </c>
      <c r="C78" s="147">
        <v>2</v>
      </c>
      <c r="E78" s="169"/>
      <c r="F78" s="170" t="s">
        <v>35</v>
      </c>
      <c r="G78" s="147">
        <v>4</v>
      </c>
      <c r="I78" s="169"/>
      <c r="J78" s="170" t="s">
        <v>35</v>
      </c>
      <c r="K78" s="147">
        <v>4</v>
      </c>
      <c r="M78" s="169"/>
      <c r="N78" s="170" t="s">
        <v>35</v>
      </c>
      <c r="O78" s="147">
        <v>4</v>
      </c>
    </row>
    <row r="79" s="19" customFormat="1" ht="15.75" spans="1:15">
      <c r="A79" s="137"/>
      <c r="B79" s="170" t="s">
        <v>48</v>
      </c>
      <c r="C79" s="136">
        <v>1.125</v>
      </c>
      <c r="E79" s="137"/>
      <c r="F79" s="170" t="s">
        <v>48</v>
      </c>
      <c r="G79" s="147">
        <f t="shared" ref="G79:G86" si="3">C79</f>
        <v>1.125</v>
      </c>
      <c r="I79" s="137"/>
      <c r="J79" s="170" t="s">
        <v>48</v>
      </c>
      <c r="K79" s="147">
        <f t="shared" ref="K79:K86" si="4">C79</f>
        <v>1.125</v>
      </c>
      <c r="M79" s="137"/>
      <c r="N79" s="170" t="s">
        <v>48</v>
      </c>
      <c r="O79" s="147">
        <f t="shared" ref="O79:O86" si="5">C79</f>
        <v>1.125</v>
      </c>
    </row>
    <row r="80" s="19" customFormat="1" ht="15.75" spans="1:15">
      <c r="A80" s="137"/>
      <c r="B80" s="170" t="s">
        <v>49</v>
      </c>
      <c r="C80" s="136">
        <v>1</v>
      </c>
      <c r="E80" s="137"/>
      <c r="F80" s="170" t="s">
        <v>49</v>
      </c>
      <c r="G80" s="147">
        <f t="shared" si="3"/>
        <v>1</v>
      </c>
      <c r="I80" s="137"/>
      <c r="J80" s="170" t="s">
        <v>49</v>
      </c>
      <c r="K80" s="147">
        <f t="shared" si="4"/>
        <v>1</v>
      </c>
      <c r="M80" s="137"/>
      <c r="N80" s="170" t="s">
        <v>49</v>
      </c>
      <c r="O80" s="147">
        <f t="shared" si="5"/>
        <v>1</v>
      </c>
    </row>
    <row r="81" s="19" customFormat="1" ht="15.75" spans="1:15">
      <c r="A81" s="137"/>
      <c r="B81" s="170" t="s">
        <v>50</v>
      </c>
      <c r="C81" s="136">
        <v>1920</v>
      </c>
      <c r="E81" s="137"/>
      <c r="F81" s="170" t="s">
        <v>50</v>
      </c>
      <c r="G81" s="147">
        <f t="shared" si="3"/>
        <v>1920</v>
      </c>
      <c r="I81" s="137"/>
      <c r="J81" s="170" t="s">
        <v>50</v>
      </c>
      <c r="K81" s="147">
        <f t="shared" si="4"/>
        <v>1920</v>
      </c>
      <c r="M81" s="137"/>
      <c r="N81" s="170" t="s">
        <v>50</v>
      </c>
      <c r="O81" s="147">
        <f t="shared" si="5"/>
        <v>1920</v>
      </c>
    </row>
    <row r="82" s="19" customFormat="1" ht="15.75" spans="1:15">
      <c r="A82" s="137"/>
      <c r="B82" s="171" t="s">
        <v>51</v>
      </c>
      <c r="C82" s="136">
        <v>1080</v>
      </c>
      <c r="E82" s="137"/>
      <c r="F82" s="171" t="s">
        <v>51</v>
      </c>
      <c r="G82" s="147">
        <f t="shared" si="3"/>
        <v>1080</v>
      </c>
      <c r="I82" s="137"/>
      <c r="J82" s="171" t="s">
        <v>51</v>
      </c>
      <c r="K82" s="147">
        <f t="shared" si="4"/>
        <v>1080</v>
      </c>
      <c r="M82" s="137"/>
      <c r="N82" s="171" t="s">
        <v>51</v>
      </c>
      <c r="O82" s="147">
        <f t="shared" si="5"/>
        <v>1080</v>
      </c>
    </row>
    <row r="83" s="19" customFormat="1" ht="15.75" spans="1:15">
      <c r="A83" s="137"/>
      <c r="B83" s="170" t="s">
        <v>52</v>
      </c>
      <c r="C83" s="136">
        <v>0</v>
      </c>
      <c r="E83" s="137"/>
      <c r="F83" s="170" t="s">
        <v>52</v>
      </c>
      <c r="G83" s="147">
        <f t="shared" si="3"/>
        <v>0</v>
      </c>
      <c r="I83" s="137"/>
      <c r="J83" s="170" t="s">
        <v>52</v>
      </c>
      <c r="K83" s="147">
        <f t="shared" si="4"/>
        <v>0</v>
      </c>
      <c r="M83" s="137"/>
      <c r="N83" s="170" t="s">
        <v>52</v>
      </c>
      <c r="O83" s="147">
        <f t="shared" si="5"/>
        <v>0</v>
      </c>
    </row>
    <row r="84" s="19" customFormat="1" ht="15.75" spans="1:15">
      <c r="A84" s="137"/>
      <c r="B84" s="170" t="s">
        <v>36</v>
      </c>
      <c r="C84" s="147">
        <v>8192</v>
      </c>
      <c r="E84" s="137"/>
      <c r="F84" s="170" t="s">
        <v>37</v>
      </c>
      <c r="G84" s="147">
        <f t="shared" si="3"/>
        <v>8192</v>
      </c>
      <c r="I84" s="137"/>
      <c r="J84" s="170" t="s">
        <v>37</v>
      </c>
      <c r="K84" s="147">
        <f t="shared" si="4"/>
        <v>8192</v>
      </c>
      <c r="M84" s="137"/>
      <c r="N84" s="170" t="s">
        <v>37</v>
      </c>
      <c r="O84" s="147">
        <f t="shared" si="5"/>
        <v>8192</v>
      </c>
    </row>
    <row r="85" s="19" customFormat="1" ht="15.75" spans="1:15">
      <c r="A85" s="137"/>
      <c r="B85" s="170" t="s">
        <v>38</v>
      </c>
      <c r="C85" s="147">
        <v>0.3</v>
      </c>
      <c r="E85" s="137"/>
      <c r="F85" s="170" t="s">
        <v>38</v>
      </c>
      <c r="G85" s="147">
        <f t="shared" si="3"/>
        <v>0.3</v>
      </c>
      <c r="I85" s="137"/>
      <c r="J85" s="170" t="s">
        <v>38</v>
      </c>
      <c r="K85" s="147">
        <f t="shared" si="4"/>
        <v>0.3</v>
      </c>
      <c r="M85" s="137"/>
      <c r="N85" s="170" t="s">
        <v>38</v>
      </c>
      <c r="O85" s="147">
        <f t="shared" si="5"/>
        <v>0.3</v>
      </c>
    </row>
    <row r="86" s="19" customFormat="1" ht="16.5" spans="1:15">
      <c r="A86" s="138"/>
      <c r="B86" s="172" t="s">
        <v>40</v>
      </c>
      <c r="C86" s="149">
        <v>5</v>
      </c>
      <c r="E86" s="138"/>
      <c r="F86" s="172" t="s">
        <v>40</v>
      </c>
      <c r="G86" s="149">
        <f t="shared" si="3"/>
        <v>5</v>
      </c>
      <c r="I86" s="138"/>
      <c r="J86" s="172" t="s">
        <v>40</v>
      </c>
      <c r="K86" s="149">
        <f t="shared" si="4"/>
        <v>5</v>
      </c>
      <c r="M86" s="138"/>
      <c r="N86" s="172" t="s">
        <v>40</v>
      </c>
      <c r="O86" s="149">
        <f t="shared" si="5"/>
        <v>5</v>
      </c>
    </row>
    <row r="87" ht="16.15" customHeight="1" spans="1:15">
      <c r="A87" s="165" t="s">
        <v>53</v>
      </c>
      <c r="B87" s="166" t="s">
        <v>32</v>
      </c>
      <c r="C87" s="144">
        <v>0</v>
      </c>
      <c r="E87" s="165" t="s">
        <v>53</v>
      </c>
      <c r="F87" s="166" t="s">
        <v>32</v>
      </c>
      <c r="G87" s="144">
        <v>0</v>
      </c>
      <c r="I87" s="165" t="s">
        <v>53</v>
      </c>
      <c r="J87" s="166" t="s">
        <v>32</v>
      </c>
      <c r="K87" s="144">
        <v>0</v>
      </c>
      <c r="M87" s="165" t="s">
        <v>53</v>
      </c>
      <c r="N87" s="166" t="s">
        <v>32</v>
      </c>
      <c r="O87" s="144">
        <v>0</v>
      </c>
    </row>
    <row r="88" ht="15.75" spans="1:15">
      <c r="A88" s="169"/>
      <c r="B88" s="170" t="s">
        <v>33</v>
      </c>
      <c r="C88" s="147">
        <v>2560</v>
      </c>
      <c r="E88" s="169"/>
      <c r="F88" s="170" t="s">
        <v>33</v>
      </c>
      <c r="G88" s="147">
        <v>2560</v>
      </c>
      <c r="I88" s="169"/>
      <c r="J88" s="170" t="s">
        <v>33</v>
      </c>
      <c r="K88" s="147">
        <v>2560</v>
      </c>
      <c r="M88" s="169"/>
      <c r="N88" s="170" t="s">
        <v>33</v>
      </c>
      <c r="O88" s="147">
        <v>2560</v>
      </c>
    </row>
    <row r="89" ht="15.75" spans="1:15">
      <c r="A89" s="169"/>
      <c r="B89" s="170" t="s">
        <v>34</v>
      </c>
      <c r="C89" s="147">
        <v>1440</v>
      </c>
      <c r="E89" s="169"/>
      <c r="F89" s="170" t="s">
        <v>34</v>
      </c>
      <c r="G89" s="147">
        <v>1440</v>
      </c>
      <c r="I89" s="169"/>
      <c r="J89" s="170" t="s">
        <v>34</v>
      </c>
      <c r="K89" s="147">
        <v>1440</v>
      </c>
      <c r="M89" s="169"/>
      <c r="N89" s="170" t="s">
        <v>34</v>
      </c>
      <c r="O89" s="147">
        <v>1440</v>
      </c>
    </row>
    <row r="90" ht="15.75" spans="1:15">
      <c r="A90" s="169"/>
      <c r="B90" s="170" t="s">
        <v>35</v>
      </c>
      <c r="C90" s="147">
        <v>2</v>
      </c>
      <c r="E90" s="169"/>
      <c r="F90" s="170" t="s">
        <v>35</v>
      </c>
      <c r="G90" s="147">
        <v>2</v>
      </c>
      <c r="I90" s="169"/>
      <c r="J90" s="170" t="s">
        <v>35</v>
      </c>
      <c r="K90" s="147">
        <v>2</v>
      </c>
      <c r="M90" s="169"/>
      <c r="N90" s="170" t="s">
        <v>35</v>
      </c>
      <c r="O90" s="147">
        <v>2</v>
      </c>
    </row>
    <row r="91" s="19" customFormat="1" ht="15.75" spans="1:15">
      <c r="A91" s="137"/>
      <c r="B91" s="170" t="s">
        <v>48</v>
      </c>
      <c r="C91" s="136">
        <v>1.5</v>
      </c>
      <c r="E91" s="137"/>
      <c r="F91" s="170" t="s">
        <v>48</v>
      </c>
      <c r="G91" s="147">
        <f t="shared" ref="G91:G98" si="6">C91</f>
        <v>1.5</v>
      </c>
      <c r="I91" s="137"/>
      <c r="J91" s="170" t="s">
        <v>48</v>
      </c>
      <c r="K91" s="147">
        <f t="shared" ref="K91:K98" si="7">C91</f>
        <v>1.5</v>
      </c>
      <c r="M91" s="137"/>
      <c r="N91" s="170" t="s">
        <v>48</v>
      </c>
      <c r="O91" s="147">
        <f t="shared" ref="O91:O98" si="8">C91</f>
        <v>1.5</v>
      </c>
    </row>
    <row r="92" s="19" customFormat="1" ht="15.75" spans="1:15">
      <c r="A92" s="137"/>
      <c r="B92" s="170" t="s">
        <v>49</v>
      </c>
      <c r="C92" s="136">
        <v>3</v>
      </c>
      <c r="E92" s="137"/>
      <c r="F92" s="170" t="s">
        <v>49</v>
      </c>
      <c r="G92" s="147">
        <f t="shared" si="6"/>
        <v>3</v>
      </c>
      <c r="I92" s="137"/>
      <c r="J92" s="170" t="s">
        <v>49</v>
      </c>
      <c r="K92" s="147">
        <f t="shared" si="7"/>
        <v>3</v>
      </c>
      <c r="M92" s="137"/>
      <c r="N92" s="170" t="s">
        <v>49</v>
      </c>
      <c r="O92" s="147">
        <f t="shared" si="8"/>
        <v>3</v>
      </c>
    </row>
    <row r="93" s="19" customFormat="1" ht="15.75" spans="1:15">
      <c r="A93" s="137"/>
      <c r="B93" s="170" t="s">
        <v>50</v>
      </c>
      <c r="C93" s="136">
        <v>2560</v>
      </c>
      <c r="E93" s="137"/>
      <c r="F93" s="170" t="s">
        <v>50</v>
      </c>
      <c r="G93" s="147">
        <f t="shared" si="6"/>
        <v>2560</v>
      </c>
      <c r="I93" s="137"/>
      <c r="J93" s="170" t="s">
        <v>50</v>
      </c>
      <c r="K93" s="147">
        <f t="shared" si="7"/>
        <v>2560</v>
      </c>
      <c r="M93" s="137"/>
      <c r="N93" s="170" t="s">
        <v>50</v>
      </c>
      <c r="O93" s="147">
        <f t="shared" si="8"/>
        <v>2560</v>
      </c>
    </row>
    <row r="94" s="19" customFormat="1" ht="15.75" spans="1:15">
      <c r="A94" s="137"/>
      <c r="B94" s="171" t="s">
        <v>51</v>
      </c>
      <c r="C94" s="136">
        <v>1440</v>
      </c>
      <c r="E94" s="137"/>
      <c r="F94" s="171" t="s">
        <v>51</v>
      </c>
      <c r="G94" s="147">
        <f t="shared" si="6"/>
        <v>1440</v>
      </c>
      <c r="I94" s="137"/>
      <c r="J94" s="171" t="s">
        <v>51</v>
      </c>
      <c r="K94" s="147">
        <f t="shared" si="7"/>
        <v>1440</v>
      </c>
      <c r="M94" s="137"/>
      <c r="N94" s="171" t="s">
        <v>51</v>
      </c>
      <c r="O94" s="147">
        <f t="shared" si="8"/>
        <v>1440</v>
      </c>
    </row>
    <row r="95" s="19" customFormat="1" ht="15.75" spans="1:15">
      <c r="A95" s="137"/>
      <c r="B95" s="170" t="s">
        <v>52</v>
      </c>
      <c r="C95" s="136">
        <v>1</v>
      </c>
      <c r="E95" s="137"/>
      <c r="F95" s="170" t="s">
        <v>52</v>
      </c>
      <c r="G95" s="147">
        <f t="shared" si="6"/>
        <v>1</v>
      </c>
      <c r="I95" s="137"/>
      <c r="J95" s="170" t="s">
        <v>52</v>
      </c>
      <c r="K95" s="147">
        <f t="shared" si="7"/>
        <v>1</v>
      </c>
      <c r="M95" s="137"/>
      <c r="N95" s="170" t="s">
        <v>52</v>
      </c>
      <c r="O95" s="147">
        <f t="shared" si="8"/>
        <v>1</v>
      </c>
    </row>
    <row r="96" s="19" customFormat="1" ht="15.75" spans="1:15">
      <c r="A96" s="137"/>
      <c r="B96" s="170" t="s">
        <v>36</v>
      </c>
      <c r="C96" s="147">
        <v>8192</v>
      </c>
      <c r="E96" s="137"/>
      <c r="F96" s="170" t="s">
        <v>37</v>
      </c>
      <c r="G96" s="147">
        <f t="shared" si="6"/>
        <v>8192</v>
      </c>
      <c r="I96" s="137"/>
      <c r="J96" s="170" t="s">
        <v>37</v>
      </c>
      <c r="K96" s="147">
        <f t="shared" si="7"/>
        <v>8192</v>
      </c>
      <c r="M96" s="137"/>
      <c r="N96" s="170" t="s">
        <v>37</v>
      </c>
      <c r="O96" s="147">
        <f t="shared" si="8"/>
        <v>8192</v>
      </c>
    </row>
    <row r="97" s="19" customFormat="1" ht="15.75" spans="1:15">
      <c r="A97" s="137"/>
      <c r="B97" s="170" t="s">
        <v>38</v>
      </c>
      <c r="C97" s="147">
        <v>0.3</v>
      </c>
      <c r="E97" s="137"/>
      <c r="F97" s="170" t="s">
        <v>38</v>
      </c>
      <c r="G97" s="147">
        <f t="shared" si="6"/>
        <v>0.3</v>
      </c>
      <c r="I97" s="137"/>
      <c r="J97" s="170" t="s">
        <v>38</v>
      </c>
      <c r="K97" s="147">
        <f t="shared" si="7"/>
        <v>0.3</v>
      </c>
      <c r="M97" s="137"/>
      <c r="N97" s="170" t="s">
        <v>38</v>
      </c>
      <c r="O97" s="147">
        <f t="shared" si="8"/>
        <v>0.3</v>
      </c>
    </row>
    <row r="98" s="19" customFormat="1" ht="16.5" spans="1:15">
      <c r="A98" s="138"/>
      <c r="B98" s="172" t="s">
        <v>40</v>
      </c>
      <c r="C98" s="149">
        <v>7</v>
      </c>
      <c r="E98" s="155"/>
      <c r="F98" s="173" t="s">
        <v>40</v>
      </c>
      <c r="G98" s="157">
        <f t="shared" si="6"/>
        <v>7</v>
      </c>
      <c r="I98" s="155"/>
      <c r="J98" s="173" t="s">
        <v>40</v>
      </c>
      <c r="K98" s="157">
        <f t="shared" si="7"/>
        <v>7</v>
      </c>
      <c r="M98" s="155"/>
      <c r="N98" s="173" t="s">
        <v>40</v>
      </c>
      <c r="O98" s="157">
        <f t="shared" si="8"/>
        <v>7</v>
      </c>
    </row>
    <row r="99" ht="16.15" customHeight="1" spans="1:15">
      <c r="A99" s="165" t="s">
        <v>54</v>
      </c>
      <c r="B99" s="166" t="s">
        <v>32</v>
      </c>
      <c r="C99" s="144">
        <v>0</v>
      </c>
      <c r="E99" s="165" t="s">
        <v>54</v>
      </c>
      <c r="F99" s="166" t="s">
        <v>32</v>
      </c>
      <c r="G99" s="144">
        <v>4</v>
      </c>
      <c r="I99" s="165" t="s">
        <v>54</v>
      </c>
      <c r="J99" s="166" t="s">
        <v>32</v>
      </c>
      <c r="K99" s="144">
        <v>4</v>
      </c>
      <c r="M99" s="165" t="s">
        <v>54</v>
      </c>
      <c r="N99" s="166" t="s">
        <v>32</v>
      </c>
      <c r="O99" s="144">
        <v>4</v>
      </c>
    </row>
    <row r="100" ht="15.75" spans="1:15">
      <c r="A100" s="169"/>
      <c r="B100" s="170" t="s">
        <v>33</v>
      </c>
      <c r="C100" s="147">
        <v>960</v>
      </c>
      <c r="E100" s="169"/>
      <c r="F100" s="170" t="s">
        <v>33</v>
      </c>
      <c r="G100" s="147">
        <v>960</v>
      </c>
      <c r="I100" s="169"/>
      <c r="J100" s="170" t="s">
        <v>33</v>
      </c>
      <c r="K100" s="147">
        <v>960</v>
      </c>
      <c r="M100" s="169"/>
      <c r="N100" s="170" t="s">
        <v>33</v>
      </c>
      <c r="O100" s="147">
        <v>960</v>
      </c>
    </row>
    <row r="101" ht="15.75" spans="1:15">
      <c r="A101" s="169"/>
      <c r="B101" s="170" t="s">
        <v>34</v>
      </c>
      <c r="C101" s="147">
        <v>576</v>
      </c>
      <c r="E101" s="169"/>
      <c r="F101" s="170" t="s">
        <v>34</v>
      </c>
      <c r="G101" s="147">
        <v>576</v>
      </c>
      <c r="I101" s="169"/>
      <c r="J101" s="170" t="s">
        <v>34</v>
      </c>
      <c r="K101" s="147">
        <v>576</v>
      </c>
      <c r="M101" s="169"/>
      <c r="N101" s="170" t="s">
        <v>34</v>
      </c>
      <c r="O101" s="147">
        <v>576</v>
      </c>
    </row>
    <row r="102" ht="15.75" spans="1:15">
      <c r="A102" s="169"/>
      <c r="B102" s="170" t="s">
        <v>35</v>
      </c>
      <c r="C102" s="147">
        <v>2</v>
      </c>
      <c r="E102" s="169"/>
      <c r="F102" s="170" t="s">
        <v>35</v>
      </c>
      <c r="G102" s="147">
        <v>4</v>
      </c>
      <c r="I102" s="169"/>
      <c r="J102" s="170" t="s">
        <v>35</v>
      </c>
      <c r="K102" s="147">
        <v>4</v>
      </c>
      <c r="M102" s="169"/>
      <c r="N102" s="170" t="s">
        <v>35</v>
      </c>
      <c r="O102" s="147">
        <v>4</v>
      </c>
    </row>
    <row r="103" s="19" customFormat="1" ht="15.75" spans="1:15">
      <c r="A103" s="137"/>
      <c r="B103" s="170" t="s">
        <v>48</v>
      </c>
      <c r="C103" s="136">
        <v>1.125</v>
      </c>
      <c r="E103" s="137"/>
      <c r="F103" s="170" t="s">
        <v>48</v>
      </c>
      <c r="G103" s="136">
        <f t="shared" ref="G103:G110" si="9">C103</f>
        <v>1.125</v>
      </c>
      <c r="I103" s="137"/>
      <c r="J103" s="170" t="s">
        <v>48</v>
      </c>
      <c r="K103" s="136">
        <f t="shared" ref="K103:K110" si="10">G103</f>
        <v>1.125</v>
      </c>
      <c r="M103" s="137"/>
      <c r="N103" s="170" t="s">
        <v>48</v>
      </c>
      <c r="O103" s="136">
        <f t="shared" ref="O103:O110" si="11">K103</f>
        <v>1.125</v>
      </c>
    </row>
    <row r="104" s="19" customFormat="1" ht="15.75" spans="1:15">
      <c r="A104" s="137"/>
      <c r="B104" s="170" t="s">
        <v>49</v>
      </c>
      <c r="C104" s="136">
        <v>3</v>
      </c>
      <c r="E104" s="137"/>
      <c r="F104" s="170" t="s">
        <v>49</v>
      </c>
      <c r="G104" s="136">
        <f t="shared" si="9"/>
        <v>3</v>
      </c>
      <c r="I104" s="137"/>
      <c r="J104" s="170" t="s">
        <v>49</v>
      </c>
      <c r="K104" s="136">
        <f t="shared" si="10"/>
        <v>3</v>
      </c>
      <c r="M104" s="137"/>
      <c r="N104" s="170" t="s">
        <v>49</v>
      </c>
      <c r="O104" s="136">
        <f t="shared" si="11"/>
        <v>3</v>
      </c>
    </row>
    <row r="105" s="19" customFormat="1" ht="15.75" spans="1:15">
      <c r="A105" s="137"/>
      <c r="B105" s="170" t="s">
        <v>50</v>
      </c>
      <c r="C105" s="136">
        <v>960</v>
      </c>
      <c r="E105" s="137"/>
      <c r="F105" s="170" t="s">
        <v>50</v>
      </c>
      <c r="G105" s="147">
        <f t="shared" si="9"/>
        <v>960</v>
      </c>
      <c r="I105" s="137"/>
      <c r="J105" s="170" t="s">
        <v>50</v>
      </c>
      <c r="K105" s="147">
        <f>C105</f>
        <v>960</v>
      </c>
      <c r="M105" s="137"/>
      <c r="N105" s="170" t="s">
        <v>50</v>
      </c>
      <c r="O105" s="147">
        <f>C105</f>
        <v>960</v>
      </c>
    </row>
    <row r="106" s="19" customFormat="1" ht="15.75" spans="1:15">
      <c r="A106" s="137"/>
      <c r="B106" s="171" t="s">
        <v>51</v>
      </c>
      <c r="C106" s="136">
        <v>576</v>
      </c>
      <c r="E106" s="137"/>
      <c r="F106" s="171" t="s">
        <v>51</v>
      </c>
      <c r="G106" s="147">
        <f t="shared" si="9"/>
        <v>576</v>
      </c>
      <c r="I106" s="137"/>
      <c r="J106" s="171" t="s">
        <v>51</v>
      </c>
      <c r="K106" s="147">
        <f>C106</f>
        <v>576</v>
      </c>
      <c r="M106" s="137"/>
      <c r="N106" s="171" t="s">
        <v>51</v>
      </c>
      <c r="O106" s="147">
        <f>C106</f>
        <v>576</v>
      </c>
    </row>
    <row r="107" s="19" customFormat="1" ht="15.75" spans="1:15">
      <c r="A107" s="137"/>
      <c r="B107" s="170" t="s">
        <v>52</v>
      </c>
      <c r="C107" s="136">
        <v>1</v>
      </c>
      <c r="E107" s="137"/>
      <c r="F107" s="170" t="s">
        <v>52</v>
      </c>
      <c r="G107" s="136">
        <f t="shared" si="9"/>
        <v>1</v>
      </c>
      <c r="I107" s="137"/>
      <c r="J107" s="170" t="s">
        <v>52</v>
      </c>
      <c r="K107" s="136">
        <f t="shared" si="10"/>
        <v>1</v>
      </c>
      <c r="M107" s="137"/>
      <c r="N107" s="170" t="s">
        <v>52</v>
      </c>
      <c r="O107" s="136">
        <f t="shared" si="11"/>
        <v>1</v>
      </c>
    </row>
    <row r="108" s="19" customFormat="1" ht="15.75" spans="1:15">
      <c r="A108" s="137"/>
      <c r="B108" s="170" t="s">
        <v>36</v>
      </c>
      <c r="C108" s="147">
        <v>4096</v>
      </c>
      <c r="E108" s="137"/>
      <c r="F108" s="170" t="s">
        <v>37</v>
      </c>
      <c r="G108" s="147">
        <f t="shared" si="9"/>
        <v>4096</v>
      </c>
      <c r="I108" s="137"/>
      <c r="J108" s="170" t="s">
        <v>37</v>
      </c>
      <c r="K108" s="147">
        <f t="shared" si="10"/>
        <v>4096</v>
      </c>
      <c r="M108" s="137"/>
      <c r="N108" s="170" t="s">
        <v>37</v>
      </c>
      <c r="O108" s="147">
        <f t="shared" si="11"/>
        <v>4096</v>
      </c>
    </row>
    <row r="109" s="19" customFormat="1" ht="15.75" spans="1:15">
      <c r="A109" s="137"/>
      <c r="B109" s="170" t="s">
        <v>38</v>
      </c>
      <c r="C109" s="147">
        <v>0.3</v>
      </c>
      <c r="E109" s="137"/>
      <c r="F109" s="170" t="s">
        <v>38</v>
      </c>
      <c r="G109" s="147">
        <f t="shared" si="9"/>
        <v>0.3</v>
      </c>
      <c r="I109" s="137"/>
      <c r="J109" s="170" t="s">
        <v>38</v>
      </c>
      <c r="K109" s="147">
        <f t="shared" si="10"/>
        <v>0.3</v>
      </c>
      <c r="M109" s="137"/>
      <c r="N109" s="170" t="s">
        <v>38</v>
      </c>
      <c r="O109" s="147">
        <f t="shared" si="11"/>
        <v>0.3</v>
      </c>
    </row>
    <row r="110" s="19" customFormat="1" ht="16.5" spans="1:15">
      <c r="A110" s="138"/>
      <c r="B110" s="172" t="s">
        <v>40</v>
      </c>
      <c r="C110" s="149">
        <v>7</v>
      </c>
      <c r="E110" s="138"/>
      <c r="F110" s="172" t="s">
        <v>40</v>
      </c>
      <c r="G110" s="149">
        <f t="shared" si="9"/>
        <v>7</v>
      </c>
      <c r="I110" s="138"/>
      <c r="J110" s="172" t="s">
        <v>40</v>
      </c>
      <c r="K110" s="149">
        <f t="shared" si="10"/>
        <v>7</v>
      </c>
      <c r="M110" s="138"/>
      <c r="N110" s="172" t="s">
        <v>40</v>
      </c>
      <c r="O110" s="149">
        <f t="shared" si="11"/>
        <v>7</v>
      </c>
    </row>
    <row r="111" ht="15.75" spans="1:15">
      <c r="A111" s="165" t="s">
        <v>55</v>
      </c>
      <c r="B111" s="166" t="s">
        <v>32</v>
      </c>
      <c r="C111" s="144">
        <v>4</v>
      </c>
      <c r="E111" s="165" t="s">
        <v>55</v>
      </c>
      <c r="F111" s="166" t="s">
        <v>32</v>
      </c>
      <c r="G111" s="144">
        <v>0</v>
      </c>
      <c r="I111" s="165" t="s">
        <v>55</v>
      </c>
      <c r="J111" s="166" t="s">
        <v>32</v>
      </c>
      <c r="K111" s="144">
        <v>0</v>
      </c>
      <c r="M111" s="165" t="s">
        <v>55</v>
      </c>
      <c r="N111" s="166" t="s">
        <v>32</v>
      </c>
      <c r="O111" s="144">
        <v>0</v>
      </c>
    </row>
    <row r="112" ht="15.75" spans="1:15">
      <c r="A112" s="137"/>
      <c r="B112" s="170" t="s">
        <v>33</v>
      </c>
      <c r="C112" s="147">
        <v>960</v>
      </c>
      <c r="E112" s="137"/>
      <c r="F112" s="170" t="s">
        <v>33</v>
      </c>
      <c r="G112" s="147">
        <v>720</v>
      </c>
      <c r="I112" s="137"/>
      <c r="J112" s="170" t="s">
        <v>33</v>
      </c>
      <c r="K112" s="147">
        <v>720</v>
      </c>
      <c r="M112" s="137"/>
      <c r="N112" s="170" t="s">
        <v>33</v>
      </c>
      <c r="O112" s="147">
        <v>720</v>
      </c>
    </row>
    <row r="113" ht="15.75" spans="1:15">
      <c r="A113" s="137"/>
      <c r="B113" s="170" t="s">
        <v>34</v>
      </c>
      <c r="C113" s="147">
        <v>576</v>
      </c>
      <c r="E113" s="137"/>
      <c r="F113" s="170" t="s">
        <v>34</v>
      </c>
      <c r="G113" s="147">
        <v>576</v>
      </c>
      <c r="I113" s="137"/>
      <c r="J113" s="170" t="s">
        <v>34</v>
      </c>
      <c r="K113" s="147">
        <v>576</v>
      </c>
      <c r="M113" s="137"/>
      <c r="N113" s="170" t="s">
        <v>34</v>
      </c>
      <c r="O113" s="147">
        <v>576</v>
      </c>
    </row>
    <row r="114" ht="15.75" spans="1:15">
      <c r="A114" s="137"/>
      <c r="B114" s="170" t="s">
        <v>56</v>
      </c>
      <c r="C114" s="147">
        <v>2</v>
      </c>
      <c r="E114" s="137"/>
      <c r="F114" s="170" t="s">
        <v>56</v>
      </c>
      <c r="G114" s="147">
        <v>2</v>
      </c>
      <c r="I114" s="137"/>
      <c r="J114" s="170" t="s">
        <v>56</v>
      </c>
      <c r="K114" s="147">
        <v>2</v>
      </c>
      <c r="M114" s="137"/>
      <c r="N114" s="170" t="s">
        <v>56</v>
      </c>
      <c r="O114" s="147">
        <v>2</v>
      </c>
    </row>
    <row r="115" s="19" customFormat="1" ht="16.5" spans="1:15">
      <c r="A115" s="138"/>
      <c r="B115" s="172" t="s">
        <v>48</v>
      </c>
      <c r="C115" s="140">
        <v>1.125</v>
      </c>
      <c r="E115" s="155"/>
      <c r="F115" s="173" t="s">
        <v>48</v>
      </c>
      <c r="G115" s="157">
        <f>C115</f>
        <v>1.125</v>
      </c>
      <c r="I115" s="155"/>
      <c r="J115" s="173" t="s">
        <v>48</v>
      </c>
      <c r="K115" s="157">
        <f>G115</f>
        <v>1.125</v>
      </c>
      <c r="M115" s="155"/>
      <c r="N115" s="173" t="s">
        <v>48</v>
      </c>
      <c r="O115" s="157">
        <f>K115</f>
        <v>1.125</v>
      </c>
    </row>
    <row r="116" ht="15.75" spans="1:15">
      <c r="A116" s="174" t="s">
        <v>57</v>
      </c>
      <c r="B116" s="175" t="s">
        <v>14</v>
      </c>
      <c r="C116" s="144">
        <v>1</v>
      </c>
      <c r="E116" s="130"/>
      <c r="F116" s="130"/>
      <c r="G116" s="130"/>
      <c r="I116" s="130"/>
      <c r="J116" s="130"/>
      <c r="K116" s="130"/>
      <c r="L116" s="184"/>
      <c r="M116" s="130"/>
      <c r="N116" s="130"/>
      <c r="O116" s="130"/>
    </row>
    <row r="117" ht="15.75" spans="1:15">
      <c r="A117" s="176"/>
      <c r="B117" s="177" t="s">
        <v>33</v>
      </c>
      <c r="C117" s="147">
        <v>720</v>
      </c>
      <c r="E117" s="130"/>
      <c r="F117" s="130"/>
      <c r="G117" s="130"/>
      <c r="I117" s="130"/>
      <c r="J117" s="130"/>
      <c r="K117" s="130"/>
      <c r="L117" s="184"/>
      <c r="M117" s="130"/>
      <c r="N117" s="130"/>
      <c r="O117" s="130"/>
    </row>
    <row r="118" ht="15.75" spans="1:15">
      <c r="A118" s="176"/>
      <c r="B118" s="177" t="s">
        <v>34</v>
      </c>
      <c r="C118" s="147">
        <v>576</v>
      </c>
      <c r="E118" s="130"/>
      <c r="F118" s="130"/>
      <c r="G118" s="130"/>
      <c r="I118" s="130"/>
      <c r="J118" s="130"/>
      <c r="K118" s="130"/>
      <c r="L118" s="184"/>
      <c r="M118" s="130"/>
      <c r="N118" s="130"/>
      <c r="O118" s="130"/>
    </row>
    <row r="119" ht="15.75" spans="1:15">
      <c r="A119" s="176"/>
      <c r="B119" s="177" t="s">
        <v>56</v>
      </c>
      <c r="C119" s="147">
        <v>4</v>
      </c>
      <c r="E119" s="130"/>
      <c r="F119" s="130"/>
      <c r="G119" s="130"/>
      <c r="I119" s="130"/>
      <c r="J119" s="130"/>
      <c r="K119" s="130"/>
      <c r="L119" s="184"/>
      <c r="M119" s="130"/>
      <c r="N119" s="130"/>
      <c r="O119" s="130"/>
    </row>
    <row r="120" s="19" customFormat="1" ht="15.75" spans="1:15">
      <c r="A120" s="137"/>
      <c r="B120" s="177" t="s">
        <v>48</v>
      </c>
      <c r="C120" s="136">
        <v>1.125</v>
      </c>
      <c r="E120" s="130"/>
      <c r="F120" s="130"/>
      <c r="G120" s="130"/>
      <c r="I120" s="130"/>
      <c r="J120" s="130"/>
      <c r="K120" s="130"/>
      <c r="L120" s="184"/>
      <c r="M120" s="130"/>
      <c r="N120" s="130"/>
      <c r="O120" s="130"/>
    </row>
    <row r="121" s="19" customFormat="1" ht="15.75" spans="1:15">
      <c r="A121" s="137"/>
      <c r="B121" s="177" t="s">
        <v>36</v>
      </c>
      <c r="C121" s="147">
        <v>4096</v>
      </c>
      <c r="E121" s="130"/>
      <c r="F121" s="130"/>
      <c r="G121" s="130"/>
      <c r="I121" s="130"/>
      <c r="J121" s="130"/>
      <c r="K121" s="130"/>
      <c r="L121" s="184"/>
      <c r="M121" s="130"/>
      <c r="N121" s="130"/>
      <c r="O121" s="130"/>
    </row>
    <row r="122" s="19" customFormat="1" ht="15.75" spans="1:15">
      <c r="A122" s="137"/>
      <c r="B122" s="177" t="s">
        <v>38</v>
      </c>
      <c r="C122" s="147">
        <v>0.3</v>
      </c>
      <c r="E122" s="130"/>
      <c r="F122" s="130"/>
      <c r="G122" s="130"/>
      <c r="I122" s="130"/>
      <c r="J122" s="130"/>
      <c r="K122" s="130"/>
      <c r="L122" s="184"/>
      <c r="M122" s="130"/>
      <c r="N122" s="130"/>
      <c r="O122" s="130"/>
    </row>
    <row r="123" s="19" customFormat="1" ht="16.5" spans="1:15">
      <c r="A123" s="155"/>
      <c r="B123" s="178" t="s">
        <v>40</v>
      </c>
      <c r="C123" s="157">
        <v>7</v>
      </c>
      <c r="E123" s="130"/>
      <c r="F123" s="130"/>
      <c r="G123" s="130"/>
      <c r="I123" s="130"/>
      <c r="J123" s="130"/>
      <c r="K123" s="130"/>
      <c r="L123" s="184"/>
      <c r="M123" s="130"/>
      <c r="N123" s="130"/>
      <c r="O123" s="130"/>
    </row>
    <row r="124" ht="15.75" spans="1:15">
      <c r="A124" s="179" t="s">
        <v>58</v>
      </c>
      <c r="B124" s="180" t="s">
        <v>32</v>
      </c>
      <c r="C124" s="161">
        <v>8</v>
      </c>
      <c r="D124" s="181"/>
      <c r="E124" s="130"/>
      <c r="F124" s="130"/>
      <c r="G124" s="130"/>
      <c r="H124" s="181"/>
      <c r="I124" s="130"/>
      <c r="J124" s="130"/>
      <c r="K124" s="130"/>
      <c r="L124" s="130"/>
      <c r="M124" s="130"/>
      <c r="N124" s="130"/>
      <c r="O124" s="130"/>
    </row>
    <row r="125" ht="15.75" spans="1:15">
      <c r="A125" s="182"/>
      <c r="B125" s="183" t="s">
        <v>59</v>
      </c>
      <c r="C125" s="147">
        <v>8000</v>
      </c>
      <c r="D125" s="181"/>
      <c r="E125" s="130"/>
      <c r="F125" s="130"/>
      <c r="G125" s="130"/>
      <c r="H125" s="181"/>
      <c r="I125" s="130"/>
      <c r="J125" s="130"/>
      <c r="K125" s="130"/>
      <c r="L125" s="130"/>
      <c r="M125" s="130"/>
      <c r="N125" s="130"/>
      <c r="O125" s="130"/>
    </row>
    <row r="126" ht="15.75" spans="1:15">
      <c r="A126" s="182"/>
      <c r="B126" s="183" t="s">
        <v>60</v>
      </c>
      <c r="C126" s="147">
        <v>1</v>
      </c>
      <c r="D126" s="181"/>
      <c r="E126" s="130"/>
      <c r="F126" s="130"/>
      <c r="G126" s="130"/>
      <c r="H126" s="181"/>
      <c r="I126" s="130"/>
      <c r="J126" s="130"/>
      <c r="K126" s="130"/>
      <c r="L126" s="130"/>
      <c r="M126" s="130"/>
      <c r="N126" s="130"/>
      <c r="O126" s="130"/>
    </row>
    <row r="127" s="19" customFormat="1" ht="15.75" spans="1:15">
      <c r="A127" s="137"/>
      <c r="B127" s="183" t="s">
        <v>61</v>
      </c>
      <c r="C127" s="147">
        <v>16</v>
      </c>
      <c r="D127" s="181"/>
      <c r="E127" s="130"/>
      <c r="F127" s="130"/>
      <c r="G127" s="130"/>
      <c r="H127" s="181"/>
      <c r="I127" s="130"/>
      <c r="J127" s="130"/>
      <c r="K127" s="130"/>
      <c r="L127" s="130"/>
      <c r="M127" s="130"/>
      <c r="N127" s="130"/>
      <c r="O127" s="130"/>
    </row>
    <row r="128" s="19" customFormat="1" ht="15.75" spans="1:15">
      <c r="A128" s="137"/>
      <c r="B128" s="183" t="s">
        <v>62</v>
      </c>
      <c r="C128" s="147">
        <v>320</v>
      </c>
      <c r="D128" s="181"/>
      <c r="E128" s="130"/>
      <c r="F128" s="130"/>
      <c r="G128" s="130"/>
      <c r="H128" s="181"/>
      <c r="I128" s="130"/>
      <c r="J128" s="130"/>
      <c r="K128" s="130"/>
      <c r="L128" s="130"/>
      <c r="M128" s="130"/>
      <c r="N128" s="130"/>
      <c r="O128" s="130"/>
    </row>
    <row r="129" s="19" customFormat="1" ht="16.5" spans="1:15">
      <c r="A129" s="138"/>
      <c r="B129" s="185" t="s">
        <v>63</v>
      </c>
      <c r="C129" s="149">
        <v>20</v>
      </c>
      <c r="D129" s="181"/>
      <c r="E129" s="130"/>
      <c r="F129" s="130"/>
      <c r="G129" s="130"/>
      <c r="H129" s="181"/>
      <c r="I129" s="130"/>
      <c r="J129" s="130"/>
      <c r="K129" s="130"/>
      <c r="L129" s="130"/>
      <c r="M129" s="130"/>
      <c r="N129" s="130"/>
      <c r="O129" s="130"/>
    </row>
    <row r="130" s="19" customFormat="1" ht="15.75" spans="1:15">
      <c r="A130" s="186" t="s">
        <v>64</v>
      </c>
      <c r="B130" s="187" t="s">
        <v>32</v>
      </c>
      <c r="C130" s="144">
        <v>1</v>
      </c>
      <c r="D130" s="181"/>
      <c r="E130" s="130"/>
      <c r="F130" s="130"/>
      <c r="G130" s="130"/>
      <c r="H130" s="181"/>
      <c r="I130" s="130"/>
      <c r="J130" s="130"/>
      <c r="K130" s="130"/>
      <c r="L130" s="130"/>
      <c r="M130" s="130"/>
      <c r="N130" s="130"/>
      <c r="O130" s="130"/>
    </row>
    <row r="131" s="19" customFormat="1" ht="15.75" spans="1:15">
      <c r="A131" s="182"/>
      <c r="B131" s="183" t="s">
        <v>59</v>
      </c>
      <c r="C131" s="147">
        <v>8000</v>
      </c>
      <c r="D131" s="181"/>
      <c r="E131" s="130"/>
      <c r="F131" s="130"/>
      <c r="G131" s="130"/>
      <c r="H131" s="181"/>
      <c r="I131" s="130"/>
      <c r="J131" s="130"/>
      <c r="K131" s="130"/>
      <c r="L131" s="130"/>
      <c r="M131" s="130"/>
      <c r="N131" s="130"/>
      <c r="O131" s="130"/>
    </row>
    <row r="132" s="19" customFormat="1" ht="15.75" spans="1:15">
      <c r="A132" s="182"/>
      <c r="B132" s="183" t="s">
        <v>60</v>
      </c>
      <c r="C132" s="147">
        <v>1</v>
      </c>
      <c r="D132" s="181"/>
      <c r="E132" s="130"/>
      <c r="F132" s="130"/>
      <c r="G132" s="130"/>
      <c r="H132" s="181"/>
      <c r="I132" s="130"/>
      <c r="J132" s="130"/>
      <c r="K132" s="130"/>
      <c r="L132" s="130"/>
      <c r="M132" s="130"/>
      <c r="N132" s="130"/>
      <c r="O132" s="130"/>
    </row>
    <row r="133" s="19" customFormat="1" ht="15.75" spans="1:15">
      <c r="A133" s="137"/>
      <c r="B133" s="183" t="s">
        <v>61</v>
      </c>
      <c r="C133" s="147">
        <v>16</v>
      </c>
      <c r="D133" s="181"/>
      <c r="E133" s="130"/>
      <c r="F133" s="130"/>
      <c r="G133" s="130"/>
      <c r="H133" s="181"/>
      <c r="I133" s="130"/>
      <c r="J133" s="130"/>
      <c r="K133" s="130"/>
      <c r="L133" s="130"/>
      <c r="M133" s="130"/>
      <c r="N133" s="130"/>
      <c r="O133" s="130"/>
    </row>
    <row r="134" ht="15.75" spans="1:15">
      <c r="A134" s="137"/>
      <c r="B134" s="183" t="s">
        <v>62</v>
      </c>
      <c r="C134" s="147">
        <v>1024</v>
      </c>
      <c r="E134" s="181"/>
      <c r="F134" s="181"/>
      <c r="G134" s="181"/>
      <c r="I134" s="181"/>
      <c r="J134" s="181"/>
      <c r="K134" s="181"/>
      <c r="M134" s="181"/>
      <c r="N134" s="181"/>
      <c r="O134" s="181"/>
    </row>
    <row r="135" s="19" customFormat="1" ht="16.5" spans="1:15">
      <c r="A135" s="138"/>
      <c r="B135" s="188" t="s">
        <v>63</v>
      </c>
      <c r="C135" s="149">
        <v>10</v>
      </c>
      <c r="E135" s="181"/>
      <c r="F135" s="181"/>
      <c r="G135" s="181"/>
      <c r="I135" s="181"/>
      <c r="J135" s="181"/>
      <c r="K135" s="181"/>
      <c r="M135" s="181"/>
      <c r="N135" s="181"/>
      <c r="O135" s="181"/>
    </row>
    <row r="136" ht="17.25" spans="1:3">
      <c r="A136" s="189" t="s">
        <v>65</v>
      </c>
      <c r="B136" s="190" t="s">
        <v>66</v>
      </c>
      <c r="C136" s="191">
        <v>40960</v>
      </c>
    </row>
    <row r="137" ht="17.25" spans="1:3">
      <c r="A137" s="189" t="s">
        <v>67</v>
      </c>
      <c r="B137" s="190" t="s">
        <v>68</v>
      </c>
      <c r="C137" s="191">
        <v>4096</v>
      </c>
    </row>
    <row r="138" ht="17.25" spans="1:3">
      <c r="A138" s="189" t="s">
        <v>69</v>
      </c>
      <c r="B138" s="190" t="s">
        <v>70</v>
      </c>
      <c r="C138" s="191">
        <v>32768</v>
      </c>
    </row>
    <row r="139" ht="5.45" customHeight="1"/>
    <row r="140" s="19" customFormat="1" ht="13.9" customHeight="1" spans="1:13">
      <c r="A140" s="192" t="s">
        <v>71</v>
      </c>
      <c r="B140" s="193"/>
      <c r="C140" s="194"/>
      <c r="D140" s="195"/>
      <c r="E140" s="196"/>
      <c r="F140" s="196"/>
      <c r="G140" s="197"/>
      <c r="H140" s="130"/>
      <c r="I140" s="196"/>
      <c r="J140" s="196"/>
      <c r="K140" s="197"/>
      <c r="L140" s="195"/>
      <c r="M140" s="181"/>
    </row>
    <row r="141" ht="10.9" customHeight="1" spans="1:13">
      <c r="A141" s="198" t="s">
        <v>72</v>
      </c>
      <c r="B141" s="181"/>
      <c r="C141" s="199"/>
      <c r="D141" s="198"/>
      <c r="E141" s="198" t="s">
        <v>73</v>
      </c>
      <c r="F141" s="181"/>
      <c r="G141" s="194"/>
      <c r="H141" s="195"/>
      <c r="I141" s="216" t="s">
        <v>74</v>
      </c>
      <c r="J141" s="217"/>
      <c r="K141" s="194"/>
      <c r="L141" s="195"/>
      <c r="M141" s="218"/>
    </row>
    <row r="142" ht="10.9" customHeight="1" spans="1:13">
      <c r="A142" s="181"/>
      <c r="B142" s="181"/>
      <c r="C142" s="199"/>
      <c r="D142" s="198"/>
      <c r="E142" s="181"/>
      <c r="F142" s="181"/>
      <c r="G142" s="194"/>
      <c r="H142" s="195"/>
      <c r="I142" s="217"/>
      <c r="J142" s="217"/>
      <c r="K142" s="194"/>
      <c r="L142" s="195"/>
      <c r="M142" s="181"/>
    </row>
    <row r="143" ht="9.6" customHeight="1" spans="1:13">
      <c r="A143" s="200" t="str">
        <f>IF(C2="321","                        hdal-memory {
                                       media {   reg = &lt;0x...... ","                        hdal-memory {
                                     media {   reg = &lt;0 0x...... ")</f>
        <v>                        hdal-memory {
                                       media {   reg = &lt;0x...... </v>
      </c>
      <c r="B143" s="201"/>
      <c r="C143" s="199"/>
      <c r="D143" s="198"/>
      <c r="E143" s="200" t="s">
        <v>75</v>
      </c>
      <c r="F143" s="201"/>
      <c r="G143" s="194"/>
      <c r="H143" s="195"/>
      <c r="I143" s="200" t="s">
        <v>76</v>
      </c>
      <c r="J143" s="201"/>
      <c r="K143" s="194"/>
      <c r="L143" s="195"/>
      <c r="M143" s="181"/>
    </row>
    <row r="144" ht="19.9" customHeight="1" spans="1:13">
      <c r="A144" s="201"/>
      <c r="B144" s="201"/>
      <c r="C144" s="202" t="str">
        <f>"0x"&amp;DEC2HEX(C5*1024)</f>
        <v>0x13800000</v>
      </c>
      <c r="D144" s="203" t="s">
        <v>77</v>
      </c>
      <c r="E144" s="201"/>
      <c r="F144" s="201"/>
      <c r="G144" s="202" t="str">
        <f>"0x"&amp;DEC2HEX(G5*1024)</f>
        <v>0xED00000</v>
      </c>
      <c r="H144" s="203" t="s">
        <v>77</v>
      </c>
      <c r="I144" s="201"/>
      <c r="J144" s="201"/>
      <c r="K144" s="202" t="str">
        <f>"0x"&amp;DEC2HEX(K5*1024)</f>
        <v>0xED00000</v>
      </c>
      <c r="L144" s="203" t="s">
        <v>77</v>
      </c>
      <c r="M144" s="181"/>
    </row>
    <row r="145" spans="1:13">
      <c r="A145" s="181"/>
      <c r="B145" s="204"/>
      <c r="C145" s="205"/>
      <c r="D145" s="181"/>
      <c r="E145" s="181"/>
      <c r="F145" s="181"/>
      <c r="G145" s="181"/>
      <c r="H145" s="181"/>
      <c r="I145" s="201"/>
      <c r="J145" s="201"/>
      <c r="K145" s="202" t="str">
        <f>"0x"&amp;DEC2HEX(O5*1024)</f>
        <v>0xED00000</v>
      </c>
      <c r="L145" s="219" t="s">
        <v>77</v>
      </c>
      <c r="M145" s="181"/>
    </row>
    <row r="146" customFormat="1" ht="6.6" customHeight="1"/>
    <row r="147" spans="1:13">
      <c r="A147" s="193" t="s">
        <v>78</v>
      </c>
      <c r="B147" s="193"/>
      <c r="C147" s="206"/>
      <c r="D147" s="207"/>
      <c r="E147" s="207"/>
      <c r="F147" s="208"/>
      <c r="G147" s="181"/>
      <c r="H147" s="181"/>
      <c r="I147" s="181"/>
      <c r="J147" s="181"/>
      <c r="K147" s="181"/>
      <c r="L147" s="181"/>
      <c r="M147" s="181"/>
    </row>
    <row r="148" ht="16.15" customHeight="1" spans="1:13">
      <c r="A148" s="209" t="str">
        <f>"    modprobe ms max_channels="&amp;MAX(C158,C159)</f>
        <v>    modprobe ms max_channels=9</v>
      </c>
      <c r="B148" s="209"/>
      <c r="C148" s="209"/>
      <c r="D148" s="209"/>
      <c r="E148" s="209"/>
      <c r="F148" s="201"/>
      <c r="G148" s="181"/>
      <c r="H148" s="181"/>
      <c r="I148" s="181"/>
      <c r="J148" s="181"/>
      <c r="K148" s="181"/>
      <c r="L148" s="181"/>
      <c r="M148" s="181"/>
    </row>
    <row r="149" spans="1:13">
      <c r="A149" s="209" t="str">
        <f>"    modprobe em max_channels="&amp;MAX(C158,C159)</f>
        <v>    modprobe em max_channels=9</v>
      </c>
      <c r="B149" s="209"/>
      <c r="C149" s="209"/>
      <c r="D149" s="209"/>
      <c r="E149" s="209"/>
      <c r="F149" s="201"/>
      <c r="G149" s="181"/>
      <c r="H149" s="181"/>
      <c r="I149" s="181"/>
      <c r="J149" s="181"/>
      <c r="K149" s="181"/>
      <c r="L149" s="181"/>
      <c r="M149" s="181"/>
    </row>
    <row r="150" ht="16.15" customHeight="1" spans="1:13">
      <c r="A150" s="209" t="str">
        <f>"    modprobe gs max_channels="&amp;MAX(C158,C159)</f>
        <v>    modprobe gs max_channels=9</v>
      </c>
      <c r="B150" s="209"/>
      <c r="C150" s="209"/>
      <c r="D150" s="209"/>
      <c r="E150" s="209"/>
      <c r="F150" s="201"/>
      <c r="G150" s="210"/>
      <c r="H150" s="181"/>
      <c r="I150" s="181"/>
      <c r="J150" s="181"/>
      <c r="K150" s="181"/>
      <c r="L150" s="181"/>
      <c r="M150" s="181"/>
    </row>
    <row r="151" spans="1:13">
      <c r="A151" s="209" t="str">
        <f>"    modprobe vpd max_channels="&amp;MAX(C158,C159)</f>
        <v>    modprobe vpd max_channels=9</v>
      </c>
      <c r="B151" s="209"/>
      <c r="C151" s="209"/>
      <c r="D151" s="209"/>
      <c r="E151" s="209"/>
      <c r="F151" s="201"/>
      <c r="G151" s="181"/>
      <c r="H151" s="181"/>
      <c r="I151" s="181"/>
      <c r="J151" s="181"/>
      <c r="K151" s="181"/>
      <c r="L151" s="181"/>
      <c r="M151" s="181"/>
    </row>
    <row r="152" spans="1:13">
      <c r="A152" s="209" t="str">
        <f>IF(C2="321","    modprobe kflow_vpe max_total_cam_ch="&amp;(C158+C159)*2+C111+C116+C160,"    modprobe vpe536 max_total_cam_ch="&amp;(C158+C159)*2+C111+C116+C160)</f>
        <v>    modprobe kflow_vpe max_total_cam_ch=31</v>
      </c>
      <c r="B152" s="209"/>
      <c r="C152" s="209"/>
      <c r="D152" s="209"/>
      <c r="E152" s="209"/>
      <c r="F152" s="201"/>
      <c r="G152" s="181"/>
      <c r="H152" s="181"/>
      <c r="I152" s="181"/>
      <c r="J152" s="181"/>
      <c r="K152" s="181"/>
      <c r="L152" s="181"/>
      <c r="M152" s="181"/>
    </row>
    <row r="153" spans="1:13">
      <c r="A153" s="209" t="str">
        <f>IF(C3="DVR",IF(C2="321","    modprobe kflow_di max_total_cam_ch="&amp;C158*4+C160,"    modprobe vpe316 max_total_cam_ch="&amp;C158*4+C160),"")</f>
        <v/>
      </c>
      <c r="B153" s="209"/>
      <c r="C153" s="209"/>
      <c r="D153" s="209"/>
      <c r="E153" s="209"/>
      <c r="F153" s="201"/>
      <c r="G153" s="181"/>
      <c r="H153" s="181"/>
      <c r="I153" s="181"/>
      <c r="J153" s="181"/>
      <c r="K153" s="181"/>
      <c r="L153" s="181"/>
      <c r="M153" s="181"/>
    </row>
    <row r="154" spans="1:13">
      <c r="A154" s="209" t="str">
        <f>"    modprobe h26xenc h26x_enc_max_width="&amp;MAX(C81,C93)+C160&amp;" h26x_enc_max_height="&amp;MAX(C82,C94)+C160&amp;" max_total_cam_ch="&amp;(C75+C87+C99)*2+C111+C116+C160</f>
        <v>    modprobe h26xenc h26x_enc_max_width=2564 h26x_enc_max_height=1444 max_total_cam_ch=13</v>
      </c>
      <c r="B154" s="209"/>
      <c r="C154" s="209"/>
      <c r="D154" s="209"/>
      <c r="E154" s="209"/>
      <c r="F154" s="201"/>
      <c r="G154" s="181"/>
      <c r="H154" s="181"/>
      <c r="I154" s="181"/>
      <c r="J154" s="181"/>
      <c r="K154" s="181"/>
      <c r="L154" s="181"/>
      <c r="M154" s="181"/>
    </row>
    <row r="155" spans="1:13">
      <c r="A155" s="209" t="str">
        <f>IF(C2="321","    modprobe hevc_dec h265d_max_width="&amp;MAX(C61,C71)+C160&amp;" h265d_max_height="&amp;MAX(C82,C94)+C160&amp;" max_total_cam_ch="&amp;C159*2+C160,"    modprobe h26xdec h26xd_max_width="&amp;MAX(C61,C71)+C160&amp;" h26xd_max_height="&amp;MAX(C62,C72)+C160&amp;" max_total_cam_ch="&amp;C159*2+C160)</f>
        <v>    modprobe hevc_dec h265d_max_width=1924 h265d_max_height=1444 max_total_cam_ch=22</v>
      </c>
      <c r="B155" s="209"/>
      <c r="C155" s="209"/>
      <c r="D155" s="209"/>
      <c r="E155" s="209"/>
      <c r="F155" s="201"/>
      <c r="G155" s="181"/>
      <c r="H155" s="181"/>
      <c r="I155" s="181"/>
      <c r="J155" s="181"/>
      <c r="K155" s="181"/>
      <c r="L155" s="181"/>
      <c r="M155" s="181"/>
    </row>
    <row r="156" spans="1:6">
      <c r="A156" s="211" t="str">
        <f>IF(C2="321","","    modprobe favc_dec h264d_max_width="&amp;MAX(C61,C71)+C160&amp;" h264d_max_height="&amp;MAX(C82,C94)+C160&amp;" max_total_cam_ch="&amp;C159*2+C160)</f>
        <v/>
      </c>
      <c r="B156" s="211"/>
      <c r="C156" s="211"/>
      <c r="D156" s="211"/>
      <c r="E156" s="211"/>
      <c r="F156" s="212"/>
    </row>
    <row r="157" spans="1:5">
      <c r="A157" s="213"/>
      <c r="B157" s="213"/>
      <c r="C157" s="213"/>
      <c r="D157" s="213"/>
      <c r="E157" s="213"/>
    </row>
    <row r="158" spans="2:3">
      <c r="B158" s="214" t="s">
        <v>79</v>
      </c>
      <c r="C158" s="215">
        <f>C75+C87+OR($C$2="315/316",$C$2="316x2")*(G75+G87)+($C$2="316x2")*(K75+K87+O75+O87)</f>
        <v>2</v>
      </c>
    </row>
    <row r="159" spans="2:3">
      <c r="B159" s="214" t="s">
        <v>80</v>
      </c>
      <c r="C159" s="215">
        <f>C53+C63+OR($C$2="315/316",$C$2="316x2")*(G53+G63)+($C$2="316x2")*(K53+K63+O53+O63)</f>
        <v>9</v>
      </c>
    </row>
    <row r="160" spans="2:3">
      <c r="B160" s="214" t="s">
        <v>81</v>
      </c>
      <c r="C160" s="215">
        <v>4</v>
      </c>
    </row>
  </sheetData>
  <mergeCells count="64">
    <mergeCell ref="A1:P1"/>
    <mergeCell ref="A2:B2"/>
    <mergeCell ref="C2:E2"/>
    <mergeCell ref="C3:E3"/>
    <mergeCell ref="A5:B5"/>
    <mergeCell ref="E5:F5"/>
    <mergeCell ref="I5:J5"/>
    <mergeCell ref="M5:N5"/>
    <mergeCell ref="A7:C7"/>
    <mergeCell ref="E7:G7"/>
    <mergeCell ref="I7:K7"/>
    <mergeCell ref="M7:O7"/>
    <mergeCell ref="A140:B140"/>
    <mergeCell ref="A147:B147"/>
    <mergeCell ref="A148:F148"/>
    <mergeCell ref="A149:F149"/>
    <mergeCell ref="A150:F150"/>
    <mergeCell ref="A151:F151"/>
    <mergeCell ref="A152:F152"/>
    <mergeCell ref="A153:F153"/>
    <mergeCell ref="A154:F154"/>
    <mergeCell ref="A155:F155"/>
    <mergeCell ref="A156:F156"/>
    <mergeCell ref="A157:F157"/>
    <mergeCell ref="A8:A22"/>
    <mergeCell ref="A23:A37"/>
    <mergeCell ref="A38:A52"/>
    <mergeCell ref="A53:A62"/>
    <mergeCell ref="A63:A72"/>
    <mergeCell ref="A73:A74"/>
    <mergeCell ref="A75:A86"/>
    <mergeCell ref="A87:A98"/>
    <mergeCell ref="A99:A110"/>
    <mergeCell ref="A111:A115"/>
    <mergeCell ref="A116:A123"/>
    <mergeCell ref="A124:A129"/>
    <mergeCell ref="A130:A135"/>
    <mergeCell ref="E53:E62"/>
    <mergeCell ref="E63:E72"/>
    <mergeCell ref="E73:E74"/>
    <mergeCell ref="E75:E86"/>
    <mergeCell ref="E87:E98"/>
    <mergeCell ref="E99:E110"/>
    <mergeCell ref="E111:E115"/>
    <mergeCell ref="I53:I62"/>
    <mergeCell ref="I63:I72"/>
    <mergeCell ref="I73:I74"/>
    <mergeCell ref="I75:I86"/>
    <mergeCell ref="I87:I98"/>
    <mergeCell ref="I99:I110"/>
    <mergeCell ref="I111:I115"/>
    <mergeCell ref="M53:M62"/>
    <mergeCell ref="M63:M72"/>
    <mergeCell ref="M73:M74"/>
    <mergeCell ref="M75:M86"/>
    <mergeCell ref="M87:M98"/>
    <mergeCell ref="M99:M110"/>
    <mergeCell ref="M111:M115"/>
    <mergeCell ref="A141:B142"/>
    <mergeCell ref="E141:F142"/>
    <mergeCell ref="I141:J142"/>
    <mergeCell ref="A143:B144"/>
    <mergeCell ref="E143:F144"/>
    <mergeCell ref="I143:J145"/>
  </mergeCells>
  <conditionalFormatting sqref="E5:H147">
    <cfRule type="expression" dxfId="0" priority="9" stopIfTrue="1">
      <formula>NOT(OR($C$2="315/316",$C$2="316x2"))</formula>
    </cfRule>
  </conditionalFormatting>
  <conditionalFormatting sqref="I5:O145">
    <cfRule type="expression" dxfId="0" priority="10" stopIfTrue="1">
      <formula>NOT($C$2="316x2")</formula>
    </cfRule>
  </conditionalFormatting>
  <dataValidations count="12">
    <dataValidation type="list" allowBlank="1" showInputMessage="1" showErrorMessage="1" sqref="C2:E2">
      <formula1>"311/312/313,315/316,316x2,321"</formula1>
    </dataValidation>
    <dataValidation type="list" allowBlank="1" showInputMessage="1" showErrorMessage="1" sqref="C3 D3:E4">
      <formula1>"DVR,NVR"</formula1>
    </dataValidation>
    <dataValidation type="list" allowBlank="1" showInputMessage="1" showErrorMessage="1" sqref="C8 C21 C36 C51 C73 C83 C95 C107 C17:C18">
      <formula1>"0, 1"</formula1>
    </dataValidation>
    <dataValidation type="list" allowBlank="1" showInputMessage="1" showErrorMessage="1" sqref="C9">
      <formula1>"0,1,2"</formula1>
    </dataValidation>
    <dataValidation type="list" allowBlank="1" showInputMessage="1" showErrorMessage="1" sqref="C10 C20 C35 C50 C79 C91 C103 C115 C120">
      <formula1>"1.5,2,1.125"</formula1>
    </dataValidation>
    <dataValidation type="list" allowBlank="1" showInputMessage="1" showErrorMessage="1" sqref="C14 C29 C44">
      <formula1>"2,4"</formula1>
    </dataValidation>
    <dataValidation type="list" allowBlank="1" showInputMessage="1" showErrorMessage="1" sqref="C25 C40">
      <formula1>"2"</formula1>
    </dataValidation>
    <dataValidation type="list" allowBlank="1" showInputMessage="1" showErrorMessage="1" sqref="C59 C69">
      <formula1>"0,2,3,4"</formula1>
    </dataValidation>
    <dataValidation type="list" allowBlank="1" showInputMessage="1" showErrorMessage="1" sqref="C116 C23:C24 C38:C39">
      <formula1>"0,1"</formula1>
    </dataValidation>
    <dataValidation type="list" allowBlank="1" showInputMessage="1" showErrorMessage="1" sqref="C126 C132">
      <formula1>"1,2"</formula1>
    </dataValidation>
    <dataValidation type="list" allowBlank="1" showInputMessage="1" showErrorMessage="1" sqref="C127 C133">
      <formula1>"16,32"</formula1>
    </dataValidation>
    <dataValidation type="list" allowBlank="1" showInputMessage="1" showErrorMessage="1" sqref="C32:C33 C47:C48">
      <formula1>"0"</formula1>
    </dataValidation>
  </dataValidations>
  <pageMargins left="0.75" right="0.75" top="1" bottom="1" header="0.5" footer="0.5"/>
  <pageSetup paperSize="209" orientation="portrait"/>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3"/>
  <dimension ref="A1:P34"/>
  <sheetViews>
    <sheetView workbookViewId="0">
      <selection activeCell="B5" sqref="B5"/>
    </sheetView>
  </sheetViews>
  <sheetFormatPr defaultColWidth="9" defaultRowHeight="14.25"/>
  <cols>
    <col min="1" max="1" width="59.375" customWidth="1"/>
    <col min="2" max="2" width="10.375" customWidth="1"/>
    <col min="4" max="4" width="10.375" customWidth="1"/>
    <col min="5" max="5" width="1" style="45" customWidth="1"/>
    <col min="9" max="9" width="1.125" customWidth="1"/>
    <col min="13" max="13" width="1" customWidth="1"/>
    <col min="16" max="16" width="9.75" customWidth="1"/>
  </cols>
  <sheetData>
    <row r="1" ht="16.15" customHeight="1" spans="1:16">
      <c r="A1" s="75" t="s">
        <v>82</v>
      </c>
      <c r="B1" s="76" t="s">
        <v>83</v>
      </c>
      <c r="C1" s="77"/>
      <c r="D1" s="77"/>
      <c r="E1" s="78"/>
      <c r="F1" s="76" t="s">
        <v>84</v>
      </c>
      <c r="G1" s="77"/>
      <c r="H1" s="77"/>
      <c r="I1" s="78"/>
      <c r="J1" s="76" t="s">
        <v>85</v>
      </c>
      <c r="K1" s="77"/>
      <c r="L1" s="77"/>
      <c r="M1" s="78"/>
      <c r="N1" s="76" t="s">
        <v>86</v>
      </c>
      <c r="O1" s="77"/>
      <c r="P1" s="77"/>
    </row>
    <row r="2" ht="16.15" customHeight="1" spans="1:16">
      <c r="A2" s="79"/>
      <c r="B2" s="80" t="s">
        <v>87</v>
      </c>
      <c r="C2" s="80" t="s">
        <v>88</v>
      </c>
      <c r="D2" s="80" t="s">
        <v>89</v>
      </c>
      <c r="E2" s="81"/>
      <c r="F2" s="80" t="s">
        <v>87</v>
      </c>
      <c r="G2" s="80" t="s">
        <v>88</v>
      </c>
      <c r="H2" s="80" t="s">
        <v>89</v>
      </c>
      <c r="I2" s="81"/>
      <c r="J2" s="80" t="s">
        <v>87</v>
      </c>
      <c r="K2" s="80" t="s">
        <v>88</v>
      </c>
      <c r="L2" s="80" t="s">
        <v>89</v>
      </c>
      <c r="M2" s="102"/>
      <c r="N2" s="80" t="s">
        <v>87</v>
      </c>
      <c r="O2" s="80" t="s">
        <v>88</v>
      </c>
      <c r="P2" s="80" t="s">
        <v>89</v>
      </c>
    </row>
    <row r="3" ht="15.75" spans="1:16">
      <c r="A3" s="82" t="s">
        <v>90</v>
      </c>
      <c r="B3" s="3">
        <f>CEILING((D8+D9+D5)*0.1,MAX(Encode!B15,Decode!B14))</f>
        <v>9180</v>
      </c>
      <c r="C3" s="3">
        <v>1</v>
      </c>
      <c r="D3" s="3">
        <f>B3*C3</f>
        <v>9180</v>
      </c>
      <c r="E3" s="44"/>
      <c r="F3" s="3">
        <f>CEILING((H8+H9+H5)*0.1,4)</f>
        <v>11220</v>
      </c>
      <c r="G3" s="3">
        <v>1</v>
      </c>
      <c r="H3" s="3">
        <f>F3*G3</f>
        <v>11220</v>
      </c>
      <c r="I3" s="44"/>
      <c r="J3" s="3">
        <f>CEILING((L8+L9+L5)*0.1,4)</f>
        <v>11220</v>
      </c>
      <c r="K3" s="3">
        <v>1</v>
      </c>
      <c r="L3" s="3">
        <f>J3*K3</f>
        <v>11220</v>
      </c>
      <c r="M3" s="103"/>
      <c r="N3" s="3">
        <f>CEILING((P8+P9+P5)*0.1,4)</f>
        <v>11220</v>
      </c>
      <c r="O3" s="3">
        <v>1</v>
      </c>
      <c r="P3" s="3">
        <f>N3*O3</f>
        <v>11220</v>
      </c>
    </row>
    <row r="4" ht="15.75" spans="1:16">
      <c r="A4" s="82" t="s">
        <v>91</v>
      </c>
      <c r="B4" s="3">
        <f>CEILING(Decode!B19+Decode!B39,4)</f>
        <v>23796</v>
      </c>
      <c r="C4" s="3">
        <v>1</v>
      </c>
      <c r="D4" s="3">
        <f>B4*C4</f>
        <v>23796</v>
      </c>
      <c r="E4" s="44"/>
      <c r="F4" s="83">
        <v>0</v>
      </c>
      <c r="G4" s="84">
        <v>0</v>
      </c>
      <c r="H4" s="85">
        <v>0</v>
      </c>
      <c r="I4" s="44"/>
      <c r="J4" s="83">
        <v>0</v>
      </c>
      <c r="K4" s="84">
        <v>0</v>
      </c>
      <c r="L4" s="85">
        <v>0</v>
      </c>
      <c r="M4" s="103"/>
      <c r="N4" s="83">
        <v>0</v>
      </c>
      <c r="O4" s="84">
        <v>0</v>
      </c>
      <c r="P4" s="85">
        <v>0</v>
      </c>
    </row>
    <row r="5" ht="15.75" spans="1:16">
      <c r="A5" s="82" t="s">
        <v>92</v>
      </c>
      <c r="B5" s="3">
        <f>IF(Overview!C9=2,MAX(CEILING(Decode!B20+Decode!B40,4),CEILING(Display!C20,4)),CEILING(Decode!B20+Decode!B40,4))</f>
        <v>76512</v>
      </c>
      <c r="C5" s="3">
        <v>1</v>
      </c>
      <c r="D5" s="3">
        <f>B5*C5</f>
        <v>76512</v>
      </c>
      <c r="E5" s="44"/>
      <c r="F5" s="3">
        <f>IF(Overview!G9=2,MAX(CEILING(Decode!F20+Decode!F40,4),CEILING(Display!G20,4)),CEILING(Decode!F20+Decode!F40,4))</f>
        <v>65728</v>
      </c>
      <c r="G5" s="3">
        <v>1</v>
      </c>
      <c r="H5" s="3">
        <f>F5*G5</f>
        <v>65728</v>
      </c>
      <c r="I5" s="44"/>
      <c r="J5" s="3">
        <f>IF(Overview!K9=2,MAX(CEILING(Decode!J20+Decode!J40,4),CEILING(Display!J20,4)),CEILING(Decode!J20+Decode!J40,4))</f>
        <v>65728</v>
      </c>
      <c r="K5" s="3">
        <v>1</v>
      </c>
      <c r="L5" s="3">
        <f>J5*K5</f>
        <v>65728</v>
      </c>
      <c r="M5" s="103"/>
      <c r="N5" s="3">
        <f>IF(Overview!O9=2,MAX(CEILING(Decode!N20+Decode!N40,4),CEILING(Display!N20,4)),CEILING(Decode!N20+Decode!N40,4))</f>
        <v>65728</v>
      </c>
      <c r="O5" s="3">
        <v>1</v>
      </c>
      <c r="P5" s="3">
        <f>N5*O5</f>
        <v>65728</v>
      </c>
    </row>
    <row r="6" ht="15.75" spans="1:16">
      <c r="A6" s="82" t="s">
        <v>93</v>
      </c>
      <c r="B6" s="3">
        <f>CEILING(Decode!B21+Decode!B41,4)</f>
        <v>18360</v>
      </c>
      <c r="C6" s="3">
        <v>1</v>
      </c>
      <c r="D6" s="3">
        <f>B6*C6</f>
        <v>18360</v>
      </c>
      <c r="E6" s="44"/>
      <c r="F6" s="3">
        <f>CEILING(Decode!F21+Decode!F41,4)</f>
        <v>12240</v>
      </c>
      <c r="G6" s="3">
        <v>1</v>
      </c>
      <c r="H6" s="3">
        <f>F6*G6</f>
        <v>12240</v>
      </c>
      <c r="I6" s="44"/>
      <c r="J6" s="3">
        <f>CEILING(Decode!J21+Decode!J41,4)</f>
        <v>12240</v>
      </c>
      <c r="K6" s="3">
        <v>1</v>
      </c>
      <c r="L6" s="3">
        <f>J6*K6</f>
        <v>12240</v>
      </c>
      <c r="M6" s="103"/>
      <c r="N6" s="3">
        <f>CEILING(Decode!N21+Decode!N41,4)</f>
        <v>12240</v>
      </c>
      <c r="O6" s="3">
        <v>1</v>
      </c>
      <c r="P6" s="3">
        <f>N6*O6</f>
        <v>12240</v>
      </c>
    </row>
    <row r="7" ht="15.75" spans="1:16">
      <c r="A7" s="82" t="s">
        <v>94</v>
      </c>
      <c r="B7" s="3">
        <f>CEILING(MAX(Decode!B18,Decode!B38)*2,4)</f>
        <v>1836</v>
      </c>
      <c r="C7" s="3">
        <v>1</v>
      </c>
      <c r="D7" s="3">
        <f t="shared" ref="D7" si="0">B7*C7</f>
        <v>1836</v>
      </c>
      <c r="E7" s="44"/>
      <c r="F7" s="3">
        <f>CEILING(MAX(Decode!F15,Decode!F35)*2,4)</f>
        <v>1836</v>
      </c>
      <c r="G7" s="3">
        <v>1</v>
      </c>
      <c r="H7" s="3">
        <f t="shared" ref="H7" si="1">F7*G7</f>
        <v>1836</v>
      </c>
      <c r="I7" s="44"/>
      <c r="J7" s="3">
        <f>CEILING(MAX(Decode!J15,Decode!J35)*2,4)</f>
        <v>1836</v>
      </c>
      <c r="K7" s="3">
        <v>1</v>
      </c>
      <c r="L7" s="3">
        <f t="shared" ref="L7" si="2">J7*K7</f>
        <v>1836</v>
      </c>
      <c r="M7" s="103"/>
      <c r="N7" s="3">
        <f>CEILING(MAX(Decode!N15,Decode!N35)*2,4)</f>
        <v>1836</v>
      </c>
      <c r="O7" s="3">
        <v>1</v>
      </c>
      <c r="P7" s="3">
        <f t="shared" ref="P7" si="3">N7*O7</f>
        <v>1836</v>
      </c>
    </row>
    <row r="8" ht="15.75" spans="1:16">
      <c r="A8" s="82" t="s">
        <v>95</v>
      </c>
      <c r="B8" s="3">
        <f>IF(Overview!C3="NVR",0,CEILING(Encode!B16+Encode!B37+Encode!B58,4))</f>
        <v>0</v>
      </c>
      <c r="C8" s="3">
        <v>1</v>
      </c>
      <c r="D8" s="3">
        <f t="shared" ref="D8:D30" si="4">B8*C8</f>
        <v>0</v>
      </c>
      <c r="E8" s="44"/>
      <c r="F8" s="3">
        <f>CEILING(Encode!F16+Encode!F37+Encode!F58,4)</f>
        <v>46464</v>
      </c>
      <c r="G8" s="3">
        <v>1</v>
      </c>
      <c r="H8" s="3">
        <f t="shared" ref="H8:H17" si="5">F8*G8</f>
        <v>46464</v>
      </c>
      <c r="I8" s="44"/>
      <c r="J8" s="3">
        <f>CEILING(Encode!J16+Encode!J37+Encode!J58,4)</f>
        <v>46464</v>
      </c>
      <c r="K8" s="3">
        <v>1</v>
      </c>
      <c r="L8" s="3">
        <f t="shared" ref="L8:L17" si="6">J8*K8</f>
        <v>46464</v>
      </c>
      <c r="M8" s="103"/>
      <c r="N8" s="3">
        <f>CEILING(Encode!N16+Encode!N37+Encode!N58,4)</f>
        <v>46464</v>
      </c>
      <c r="O8" s="3">
        <v>1</v>
      </c>
      <c r="P8" s="3">
        <f t="shared" ref="P8:P17" si="7">N8*O8</f>
        <v>46464</v>
      </c>
    </row>
    <row r="9" ht="15.75" spans="1:16">
      <c r="A9" s="82" t="s">
        <v>96</v>
      </c>
      <c r="B9" s="3">
        <f>CEILING(Encode!B17+Encode!B38+Encode!B59+DispEncode!B15,4)</f>
        <v>3536</v>
      </c>
      <c r="C9" s="3">
        <v>1</v>
      </c>
      <c r="D9" s="3">
        <f t="shared" si="4"/>
        <v>3536</v>
      </c>
      <c r="E9" s="44"/>
      <c r="F9" s="86">
        <v>0</v>
      </c>
      <c r="G9" s="87">
        <v>0</v>
      </c>
      <c r="H9" s="88">
        <v>0</v>
      </c>
      <c r="I9" s="44"/>
      <c r="J9" s="86">
        <v>0</v>
      </c>
      <c r="K9" s="91">
        <v>0</v>
      </c>
      <c r="L9" s="88">
        <v>0</v>
      </c>
      <c r="M9" s="103"/>
      <c r="N9" s="86">
        <v>0</v>
      </c>
      <c r="O9" s="87">
        <v>0</v>
      </c>
      <c r="P9" s="88">
        <v>0</v>
      </c>
    </row>
    <row r="10" ht="15.75" spans="1:16">
      <c r="A10" s="82" t="s">
        <v>97</v>
      </c>
      <c r="B10" s="3">
        <f>Encode!B18</f>
        <v>3244</v>
      </c>
      <c r="C10" s="3">
        <f>Encode!B19</f>
        <v>2</v>
      </c>
      <c r="D10" s="3">
        <f t="shared" si="4"/>
        <v>6488</v>
      </c>
      <c r="E10" s="44"/>
      <c r="F10" s="3">
        <f>Encode!F18</f>
        <v>3244</v>
      </c>
      <c r="G10" s="3">
        <f>Encode!F19</f>
        <v>4</v>
      </c>
      <c r="H10" s="3">
        <f t="shared" si="5"/>
        <v>12976</v>
      </c>
      <c r="I10" s="44"/>
      <c r="J10" s="3">
        <f>Encode!J18</f>
        <v>3244</v>
      </c>
      <c r="K10" s="3">
        <f>Encode!J19</f>
        <v>4</v>
      </c>
      <c r="L10" s="3">
        <f t="shared" si="6"/>
        <v>12976</v>
      </c>
      <c r="M10" s="103"/>
      <c r="N10" s="3">
        <f>Encode!N18</f>
        <v>3244</v>
      </c>
      <c r="O10" s="3">
        <f>Encode!N19</f>
        <v>4</v>
      </c>
      <c r="P10" s="3">
        <f t="shared" si="7"/>
        <v>12976</v>
      </c>
    </row>
    <row r="11" ht="15.75" spans="1:16">
      <c r="A11" s="82" t="s">
        <v>98</v>
      </c>
      <c r="B11" s="3">
        <f>Encode!B21</f>
        <v>0</v>
      </c>
      <c r="C11" s="3">
        <f>Encode!B22</f>
        <v>2</v>
      </c>
      <c r="D11" s="3">
        <f t="shared" si="4"/>
        <v>0</v>
      </c>
      <c r="E11" s="44"/>
      <c r="F11" s="3">
        <f>Encode!F21</f>
        <v>0</v>
      </c>
      <c r="G11" s="3">
        <f>Encode!F22</f>
        <v>4</v>
      </c>
      <c r="H11" s="3">
        <f t="shared" si="5"/>
        <v>0</v>
      </c>
      <c r="I11" s="44"/>
      <c r="J11" s="3">
        <f>Encode!J21</f>
        <v>0</v>
      </c>
      <c r="K11" s="3">
        <f>Encode!J22</f>
        <v>4</v>
      </c>
      <c r="L11" s="3">
        <f t="shared" si="6"/>
        <v>0</v>
      </c>
      <c r="M11" s="103"/>
      <c r="N11" s="3">
        <f>Encode!N21</f>
        <v>0</v>
      </c>
      <c r="O11" s="3">
        <f>Encode!N22</f>
        <v>4</v>
      </c>
      <c r="P11" s="3">
        <f t="shared" si="7"/>
        <v>0</v>
      </c>
    </row>
    <row r="12" ht="15.75" spans="1:16">
      <c r="A12" s="82" t="s">
        <v>99</v>
      </c>
      <c r="B12" s="3">
        <f>Encode!B39</f>
        <v>0</v>
      </c>
      <c r="C12" s="3">
        <f>Encode!B40</f>
        <v>0</v>
      </c>
      <c r="D12" s="3">
        <f t="shared" si="4"/>
        <v>0</v>
      </c>
      <c r="E12" s="44"/>
      <c r="F12" s="3">
        <f>Encode!F39</f>
        <v>0</v>
      </c>
      <c r="G12" s="3">
        <f>Encode!F40</f>
        <v>0</v>
      </c>
      <c r="H12" s="3">
        <f t="shared" si="5"/>
        <v>0</v>
      </c>
      <c r="I12" s="44"/>
      <c r="J12" s="3">
        <f>Encode!J39</f>
        <v>0</v>
      </c>
      <c r="K12" s="3">
        <f>Encode!J40</f>
        <v>0</v>
      </c>
      <c r="L12" s="3">
        <f t="shared" si="6"/>
        <v>0</v>
      </c>
      <c r="M12" s="103"/>
      <c r="N12" s="3">
        <f>Encode!N39</f>
        <v>0</v>
      </c>
      <c r="O12" s="3">
        <f>Encode!N40</f>
        <v>0</v>
      </c>
      <c r="P12" s="3">
        <f t="shared" si="7"/>
        <v>0</v>
      </c>
    </row>
    <row r="13" ht="15.75" spans="1:16">
      <c r="A13" s="82" t="s">
        <v>100</v>
      </c>
      <c r="B13" s="3">
        <f>Encode!B42</f>
        <v>0</v>
      </c>
      <c r="C13" s="3">
        <f>Encode!B43</f>
        <v>0</v>
      </c>
      <c r="D13" s="3">
        <f t="shared" si="4"/>
        <v>0</v>
      </c>
      <c r="E13" s="44"/>
      <c r="F13" s="3">
        <f>Encode!F42</f>
        <v>0</v>
      </c>
      <c r="G13" s="3">
        <f>Encode!F43</f>
        <v>0</v>
      </c>
      <c r="H13" s="3">
        <f t="shared" si="5"/>
        <v>0</v>
      </c>
      <c r="I13" s="44"/>
      <c r="J13" s="3">
        <f>Encode!J42</f>
        <v>0</v>
      </c>
      <c r="K13" s="3">
        <f>Encode!J43</f>
        <v>0</v>
      </c>
      <c r="L13" s="3">
        <f t="shared" si="6"/>
        <v>0</v>
      </c>
      <c r="M13" s="103"/>
      <c r="N13" s="3">
        <f>Encode!N42</f>
        <v>0</v>
      </c>
      <c r="O13" s="3">
        <f>Encode!N43</f>
        <v>0</v>
      </c>
      <c r="P13" s="3">
        <f t="shared" si="7"/>
        <v>0</v>
      </c>
    </row>
    <row r="14" ht="15.75" spans="1:16">
      <c r="A14" s="82" t="s">
        <v>101</v>
      </c>
      <c r="B14" s="3">
        <f>MAX(Encode!B60,DispEncode!B16)</f>
        <v>688</v>
      </c>
      <c r="C14" s="3">
        <f>MAX(Encode!B61,DispEncode!B17)</f>
        <v>1</v>
      </c>
      <c r="D14" s="3">
        <f t="shared" si="4"/>
        <v>688</v>
      </c>
      <c r="E14" s="44"/>
      <c r="F14" s="3">
        <f>Encode!F60</f>
        <v>860</v>
      </c>
      <c r="G14" s="3">
        <f>Encode!F61</f>
        <v>12</v>
      </c>
      <c r="H14" s="3">
        <f t="shared" si="5"/>
        <v>10320</v>
      </c>
      <c r="I14" s="44"/>
      <c r="J14" s="3">
        <f>Encode!J60</f>
        <v>860</v>
      </c>
      <c r="K14" s="3">
        <f>Encode!J61</f>
        <v>12</v>
      </c>
      <c r="L14" s="3">
        <f t="shared" si="6"/>
        <v>10320</v>
      </c>
      <c r="M14" s="103"/>
      <c r="N14" s="3">
        <f>Encode!N60</f>
        <v>860</v>
      </c>
      <c r="O14" s="3">
        <f>Encode!N61</f>
        <v>12</v>
      </c>
      <c r="P14" s="3">
        <f t="shared" si="7"/>
        <v>10320</v>
      </c>
    </row>
    <row r="15" ht="15.75" spans="1:16">
      <c r="A15" s="82" t="s">
        <v>102</v>
      </c>
      <c r="B15" s="3">
        <f>Encode!B63</f>
        <v>0</v>
      </c>
      <c r="C15" s="3">
        <f>Encode!B64</f>
        <v>0</v>
      </c>
      <c r="D15" s="3">
        <f t="shared" si="4"/>
        <v>0</v>
      </c>
      <c r="E15" s="44"/>
      <c r="F15" s="3">
        <f>Encode!F63</f>
        <v>860</v>
      </c>
      <c r="G15" s="3">
        <f>Encode!F64</f>
        <v>4</v>
      </c>
      <c r="H15" s="3">
        <f t="shared" si="5"/>
        <v>3440</v>
      </c>
      <c r="I15" s="44"/>
      <c r="J15" s="3">
        <f>Encode!J63</f>
        <v>860</v>
      </c>
      <c r="K15" s="3">
        <f>Encode!J64</f>
        <v>4</v>
      </c>
      <c r="L15" s="3">
        <f t="shared" si="6"/>
        <v>3440</v>
      </c>
      <c r="M15" s="103"/>
      <c r="N15" s="3">
        <f>Encode!N63</f>
        <v>860</v>
      </c>
      <c r="O15" s="3">
        <f>Encode!N64</f>
        <v>4</v>
      </c>
      <c r="P15" s="3">
        <f t="shared" si="7"/>
        <v>3440</v>
      </c>
    </row>
    <row r="16" ht="15.75" spans="1:16">
      <c r="A16" s="82" t="s">
        <v>103</v>
      </c>
      <c r="B16" s="3">
        <f>CEILING(DispEncode!B14+Encode!B73,4)</f>
        <v>11012</v>
      </c>
      <c r="C16" s="3">
        <v>1</v>
      </c>
      <c r="D16" s="3">
        <f t="shared" si="4"/>
        <v>11012</v>
      </c>
      <c r="E16" s="44"/>
      <c r="F16" s="89">
        <f>CEILING(Encode!F73,4)</f>
        <v>0</v>
      </c>
      <c r="G16" s="89">
        <v>1</v>
      </c>
      <c r="H16" s="89">
        <f t="shared" si="5"/>
        <v>0</v>
      </c>
      <c r="I16" s="44"/>
      <c r="J16" s="3">
        <f>CEILING(Encode!J73,4)</f>
        <v>0</v>
      </c>
      <c r="K16" s="3">
        <v>1</v>
      </c>
      <c r="L16" s="3">
        <f t="shared" si="6"/>
        <v>0</v>
      </c>
      <c r="M16" s="103"/>
      <c r="N16" s="3">
        <f>CEILING(Encode!N73,4)</f>
        <v>0</v>
      </c>
      <c r="O16" s="3">
        <v>1</v>
      </c>
      <c r="P16" s="3">
        <f t="shared" si="7"/>
        <v>0</v>
      </c>
    </row>
    <row r="17" ht="15.75" spans="1:16">
      <c r="A17" s="82" t="s">
        <v>104</v>
      </c>
      <c r="B17" s="3">
        <f>IF(Overview!C3="NVR",0,IF(Overview!C9=2,0,CEILING(Display!C20,4)))</f>
        <v>0</v>
      </c>
      <c r="C17" s="3">
        <v>1</v>
      </c>
      <c r="D17" s="3">
        <f t="shared" si="4"/>
        <v>0</v>
      </c>
      <c r="E17" s="44"/>
      <c r="F17" s="3">
        <f>B17</f>
        <v>0</v>
      </c>
      <c r="G17" s="3">
        <v>1</v>
      </c>
      <c r="H17" s="3">
        <f t="shared" si="5"/>
        <v>0</v>
      </c>
      <c r="I17" s="44"/>
      <c r="J17" s="3">
        <f>B17</f>
        <v>0</v>
      </c>
      <c r="K17" s="3">
        <v>1</v>
      </c>
      <c r="L17" s="3">
        <f t="shared" si="6"/>
        <v>0</v>
      </c>
      <c r="M17" s="103"/>
      <c r="N17" s="3">
        <f>B17</f>
        <v>0</v>
      </c>
      <c r="O17" s="3">
        <v>1</v>
      </c>
      <c r="P17" s="3">
        <f t="shared" si="7"/>
        <v>0</v>
      </c>
    </row>
    <row r="18" ht="15.75" spans="1:16">
      <c r="A18" s="82" t="s">
        <v>105</v>
      </c>
      <c r="B18" s="3">
        <f>CEILING(Display!C21,4)</f>
        <v>36452</v>
      </c>
      <c r="C18" s="3">
        <v>1</v>
      </c>
      <c r="D18" s="3">
        <f t="shared" si="4"/>
        <v>36452</v>
      </c>
      <c r="E18" s="44"/>
      <c r="F18" s="90">
        <v>0</v>
      </c>
      <c r="G18" s="91">
        <v>0</v>
      </c>
      <c r="H18" s="92">
        <v>0</v>
      </c>
      <c r="I18" s="44"/>
      <c r="J18" s="90">
        <v>0</v>
      </c>
      <c r="K18" s="91">
        <v>0</v>
      </c>
      <c r="L18" s="92">
        <v>0</v>
      </c>
      <c r="M18" s="103"/>
      <c r="N18" s="90">
        <v>0</v>
      </c>
      <c r="O18" s="91">
        <v>0</v>
      </c>
      <c r="P18" s="92">
        <v>0</v>
      </c>
    </row>
    <row r="19" ht="15.75" spans="1:16">
      <c r="A19" s="82" t="s">
        <v>106</v>
      </c>
      <c r="B19" s="3">
        <f>CEILING(Display!C22+Display!C23+Display!C24,4)</f>
        <v>64800</v>
      </c>
      <c r="C19" s="3">
        <v>1</v>
      </c>
      <c r="D19" s="3">
        <f t="shared" si="4"/>
        <v>64800</v>
      </c>
      <c r="E19" s="44"/>
      <c r="F19" s="90">
        <v>0</v>
      </c>
      <c r="G19" s="91">
        <v>0</v>
      </c>
      <c r="H19" s="92">
        <v>0</v>
      </c>
      <c r="I19" s="44"/>
      <c r="J19" s="90">
        <v>0</v>
      </c>
      <c r="K19" s="91">
        <v>0</v>
      </c>
      <c r="L19" s="92">
        <v>0</v>
      </c>
      <c r="M19" s="103"/>
      <c r="N19" s="90">
        <v>0</v>
      </c>
      <c r="O19" s="91">
        <v>0</v>
      </c>
      <c r="P19" s="92">
        <v>0</v>
      </c>
    </row>
    <row r="20" ht="15.75" spans="1:16">
      <c r="A20" s="82" t="s">
        <v>107</v>
      </c>
      <c r="B20" s="3">
        <f>IF(Overview!C3="NVR",0,CEILING(Display!C43,4))</f>
        <v>0</v>
      </c>
      <c r="C20" s="3">
        <v>1</v>
      </c>
      <c r="D20" s="3">
        <f t="shared" si="4"/>
        <v>0</v>
      </c>
      <c r="E20" s="44"/>
      <c r="F20" s="3">
        <f>B20</f>
        <v>0</v>
      </c>
      <c r="G20" s="3">
        <v>1</v>
      </c>
      <c r="H20" s="3">
        <f t="shared" ref="H20" si="8">F20*G20</f>
        <v>0</v>
      </c>
      <c r="I20" s="44"/>
      <c r="J20" s="3">
        <f>B20</f>
        <v>0</v>
      </c>
      <c r="K20" s="3">
        <v>1</v>
      </c>
      <c r="L20" s="3">
        <f t="shared" ref="L20" si="9">J20*K20</f>
        <v>0</v>
      </c>
      <c r="M20" s="103"/>
      <c r="N20" s="3">
        <f>B20</f>
        <v>0</v>
      </c>
      <c r="O20" s="3">
        <v>1</v>
      </c>
      <c r="P20" s="3">
        <f t="shared" ref="P20" si="10">N20*O20</f>
        <v>0</v>
      </c>
    </row>
    <row r="21" ht="15.75" spans="1:16">
      <c r="A21" s="82" t="s">
        <v>108</v>
      </c>
      <c r="B21" s="3">
        <f>CEILING(Display!C44,4)</f>
        <v>0</v>
      </c>
      <c r="C21" s="3">
        <v>1</v>
      </c>
      <c r="D21" s="3">
        <f t="shared" si="4"/>
        <v>0</v>
      </c>
      <c r="E21" s="44"/>
      <c r="F21" s="90">
        <v>0</v>
      </c>
      <c r="G21" s="91">
        <v>0</v>
      </c>
      <c r="H21" s="92">
        <v>0</v>
      </c>
      <c r="I21" s="44"/>
      <c r="J21" s="90">
        <v>0</v>
      </c>
      <c r="K21" s="91">
        <v>0</v>
      </c>
      <c r="L21" s="92">
        <v>0</v>
      </c>
      <c r="M21" s="103"/>
      <c r="N21" s="90">
        <v>0</v>
      </c>
      <c r="O21" s="91">
        <v>0</v>
      </c>
      <c r="P21" s="92">
        <v>0</v>
      </c>
    </row>
    <row r="22" ht="15.75" spans="1:16">
      <c r="A22" s="82" t="s">
        <v>109</v>
      </c>
      <c r="B22" s="3">
        <f>CEILING(Display!C45+Display!C46+Display!C47,4)</f>
        <v>0</v>
      </c>
      <c r="C22" s="3">
        <v>1</v>
      </c>
      <c r="D22" s="3">
        <f t="shared" si="4"/>
        <v>0</v>
      </c>
      <c r="E22" s="44"/>
      <c r="F22" s="90">
        <v>0</v>
      </c>
      <c r="G22" s="91">
        <v>0</v>
      </c>
      <c r="H22" s="92">
        <v>0</v>
      </c>
      <c r="I22" s="44"/>
      <c r="J22" s="90">
        <v>0</v>
      </c>
      <c r="K22" s="91">
        <v>0</v>
      </c>
      <c r="L22" s="92">
        <v>0</v>
      </c>
      <c r="M22" s="103"/>
      <c r="N22" s="90">
        <v>0</v>
      </c>
      <c r="O22" s="91">
        <v>0</v>
      </c>
      <c r="P22" s="92">
        <v>0</v>
      </c>
    </row>
    <row r="23" ht="15.75" spans="1:16">
      <c r="A23" s="82" t="s">
        <v>110</v>
      </c>
      <c r="B23" s="3">
        <f>IF(Overview!C3="NVR",0,CEILING(Display!C66,4))</f>
        <v>0</v>
      </c>
      <c r="C23" s="3">
        <v>1</v>
      </c>
      <c r="D23" s="3">
        <f t="shared" si="4"/>
        <v>0</v>
      </c>
      <c r="E23" s="44"/>
      <c r="F23" s="3">
        <f>B23</f>
        <v>0</v>
      </c>
      <c r="G23" s="3">
        <v>1</v>
      </c>
      <c r="H23" s="3">
        <f t="shared" ref="H23" si="11">F23*G23</f>
        <v>0</v>
      </c>
      <c r="I23" s="44"/>
      <c r="J23" s="3">
        <f>B23</f>
        <v>0</v>
      </c>
      <c r="K23" s="3">
        <v>1</v>
      </c>
      <c r="L23" s="3">
        <f t="shared" ref="L23" si="12">J23*K23</f>
        <v>0</v>
      </c>
      <c r="M23" s="103"/>
      <c r="N23" s="3">
        <f>B23</f>
        <v>0</v>
      </c>
      <c r="O23" s="3">
        <v>1</v>
      </c>
      <c r="P23" s="3">
        <f t="shared" ref="P23" si="13">N23*O23</f>
        <v>0</v>
      </c>
    </row>
    <row r="24" ht="15.75" spans="1:16">
      <c r="A24" s="82" t="s">
        <v>111</v>
      </c>
      <c r="B24" s="3">
        <f>CEILING(Display!C67,4)</f>
        <v>0</v>
      </c>
      <c r="C24" s="3">
        <v>1</v>
      </c>
      <c r="D24" s="3">
        <f t="shared" si="4"/>
        <v>0</v>
      </c>
      <c r="E24" s="44"/>
      <c r="F24" s="90">
        <v>0</v>
      </c>
      <c r="G24" s="91">
        <v>0</v>
      </c>
      <c r="H24" s="92">
        <v>0</v>
      </c>
      <c r="I24" s="44"/>
      <c r="J24" s="90">
        <v>0</v>
      </c>
      <c r="K24" s="91">
        <v>0</v>
      </c>
      <c r="L24" s="92">
        <v>0</v>
      </c>
      <c r="M24" s="103"/>
      <c r="N24" s="90">
        <v>0</v>
      </c>
      <c r="O24" s="91">
        <v>0</v>
      </c>
      <c r="P24" s="92">
        <v>0</v>
      </c>
    </row>
    <row r="25" ht="15.75" spans="1:16">
      <c r="A25" s="82" t="s">
        <v>112</v>
      </c>
      <c r="B25" s="3">
        <f>CEILING(Display!C68+Display!C69+Display!C70,4)</f>
        <v>0</v>
      </c>
      <c r="C25" s="3">
        <v>1</v>
      </c>
      <c r="D25" s="3">
        <f t="shared" si="4"/>
        <v>0</v>
      </c>
      <c r="E25" s="44"/>
      <c r="F25" s="90">
        <v>0</v>
      </c>
      <c r="G25" s="91">
        <v>0</v>
      </c>
      <c r="H25" s="92">
        <v>0</v>
      </c>
      <c r="I25" s="44"/>
      <c r="J25" s="90">
        <v>0</v>
      </c>
      <c r="K25" s="91">
        <v>0</v>
      </c>
      <c r="L25" s="92">
        <v>0</v>
      </c>
      <c r="M25" s="103"/>
      <c r="N25" s="90">
        <v>0</v>
      </c>
      <c r="O25" s="91">
        <v>0</v>
      </c>
      <c r="P25" s="92">
        <v>0</v>
      </c>
    </row>
    <row r="26" ht="15.75" spans="1:16">
      <c r="A26" s="82" t="s">
        <v>113</v>
      </c>
      <c r="B26" s="3">
        <f>CEILING(Audio!B10,4)</f>
        <v>100</v>
      </c>
      <c r="C26" s="3">
        <v>1</v>
      </c>
      <c r="D26" s="3">
        <f t="shared" si="4"/>
        <v>100</v>
      </c>
      <c r="E26" s="44"/>
      <c r="F26" s="90">
        <v>0</v>
      </c>
      <c r="G26" s="91">
        <v>0</v>
      </c>
      <c r="H26" s="92">
        <v>0</v>
      </c>
      <c r="I26" s="44"/>
      <c r="J26" s="90">
        <v>0</v>
      </c>
      <c r="K26" s="91">
        <v>0</v>
      </c>
      <c r="L26" s="92">
        <v>0</v>
      </c>
      <c r="M26" s="103"/>
      <c r="N26" s="90">
        <v>0</v>
      </c>
      <c r="O26" s="91">
        <v>0</v>
      </c>
      <c r="P26" s="92">
        <v>0</v>
      </c>
    </row>
    <row r="27" ht="15.75" spans="1:16">
      <c r="A27" s="82" t="s">
        <v>114</v>
      </c>
      <c r="B27" s="3">
        <f>CEILING(Audio!B18,4)</f>
        <v>20</v>
      </c>
      <c r="C27" s="3">
        <v>1</v>
      </c>
      <c r="D27" s="3">
        <f t="shared" si="4"/>
        <v>20</v>
      </c>
      <c r="E27" s="44"/>
      <c r="F27" s="93">
        <v>0</v>
      </c>
      <c r="G27" s="94">
        <v>0</v>
      </c>
      <c r="H27" s="95">
        <v>0</v>
      </c>
      <c r="I27" s="44"/>
      <c r="J27" s="93">
        <v>0</v>
      </c>
      <c r="K27" s="94">
        <v>0</v>
      </c>
      <c r="L27" s="95">
        <v>0</v>
      </c>
      <c r="M27" s="103"/>
      <c r="N27" s="93">
        <v>0</v>
      </c>
      <c r="O27" s="94">
        <v>0</v>
      </c>
      <c r="P27" s="95">
        <v>0</v>
      </c>
    </row>
    <row r="28" ht="15.75" spans="1:16">
      <c r="A28" s="82" t="s">
        <v>115</v>
      </c>
      <c r="B28" s="3">
        <f>CEILING(MotionDetection!B9,4)</f>
        <v>288</v>
      </c>
      <c r="C28" s="3">
        <f>MotionDetection!B10</f>
        <v>0</v>
      </c>
      <c r="D28" s="3">
        <f t="shared" si="4"/>
        <v>0</v>
      </c>
      <c r="E28" s="44"/>
      <c r="F28" s="3">
        <f>MotionDetection!F9</f>
        <v>288</v>
      </c>
      <c r="G28" s="3">
        <f>MotionDetection!F10</f>
        <v>0</v>
      </c>
      <c r="H28" s="96">
        <f t="shared" ref="H28:H32" si="14">F28*G28</f>
        <v>0</v>
      </c>
      <c r="I28" s="44"/>
      <c r="J28" s="3">
        <f>MotionDetection!J9</f>
        <v>288</v>
      </c>
      <c r="K28" s="3">
        <f>MotionDetection!J10</f>
        <v>0</v>
      </c>
      <c r="L28" s="96">
        <f t="shared" ref="L28:L32" si="15">J28*K28</f>
        <v>0</v>
      </c>
      <c r="M28" s="103"/>
      <c r="N28" s="3">
        <f>MotionDetection!N9</f>
        <v>288</v>
      </c>
      <c r="O28" s="3">
        <f>MotionDetection!N10</f>
        <v>0</v>
      </c>
      <c r="P28" s="96">
        <f t="shared" ref="P28:P32" si="16">N28*O28</f>
        <v>0</v>
      </c>
    </row>
    <row r="29" ht="15.75" spans="1:16">
      <c r="A29" s="82" t="s">
        <v>116</v>
      </c>
      <c r="B29" s="3">
        <v>140</v>
      </c>
      <c r="C29" s="3">
        <f>Encode!B4+Encode!B25</f>
        <v>2</v>
      </c>
      <c r="D29" s="3">
        <f t="shared" si="4"/>
        <v>280</v>
      </c>
      <c r="E29" s="44"/>
      <c r="F29" s="3">
        <v>140</v>
      </c>
      <c r="G29" s="3">
        <f>Encode!F4+Encode!F25</f>
        <v>4</v>
      </c>
      <c r="H29" s="3">
        <f t="shared" si="14"/>
        <v>560</v>
      </c>
      <c r="I29" s="44"/>
      <c r="J29" s="3">
        <v>140</v>
      </c>
      <c r="K29" s="3">
        <f>Encode!J4+Encode!J25</f>
        <v>4</v>
      </c>
      <c r="L29" s="3">
        <f t="shared" si="15"/>
        <v>560</v>
      </c>
      <c r="M29" s="103"/>
      <c r="N29" s="3">
        <v>140</v>
      </c>
      <c r="O29" s="3">
        <f>Encode!N4+Encode!N25</f>
        <v>4</v>
      </c>
      <c r="P29" s="3">
        <f t="shared" si="16"/>
        <v>560</v>
      </c>
    </row>
    <row r="30" ht="15.75" spans="1:16">
      <c r="A30" s="82" t="s">
        <v>117</v>
      </c>
      <c r="B30" s="3">
        <f>Overview!C136</f>
        <v>40960</v>
      </c>
      <c r="C30" s="3">
        <v>0</v>
      </c>
      <c r="D30" s="3">
        <f t="shared" si="4"/>
        <v>0</v>
      </c>
      <c r="E30" s="44"/>
      <c r="F30" s="3">
        <v>40960</v>
      </c>
      <c r="G30" s="3">
        <v>1</v>
      </c>
      <c r="H30" s="3">
        <f t="shared" si="14"/>
        <v>40960</v>
      </c>
      <c r="I30" s="44"/>
      <c r="J30" s="3">
        <v>40960</v>
      </c>
      <c r="K30" s="3">
        <v>1</v>
      </c>
      <c r="L30" s="3">
        <f t="shared" si="15"/>
        <v>40960</v>
      </c>
      <c r="M30" s="103"/>
      <c r="N30" s="3">
        <v>40960</v>
      </c>
      <c r="O30" s="3">
        <v>1</v>
      </c>
      <c r="P30" s="3">
        <f t="shared" si="16"/>
        <v>40960</v>
      </c>
    </row>
    <row r="31" ht="15.75" spans="1:16">
      <c r="A31" s="82" t="s">
        <v>118</v>
      </c>
      <c r="B31" s="23">
        <f>Overview!C137</f>
        <v>4096</v>
      </c>
      <c r="C31" s="23">
        <v>0</v>
      </c>
      <c r="D31" s="23">
        <f t="shared" ref="D31:D32" si="17">B31*C31</f>
        <v>0</v>
      </c>
      <c r="E31" s="44"/>
      <c r="F31" s="96">
        <v>4096</v>
      </c>
      <c r="G31" s="96">
        <v>1</v>
      </c>
      <c r="H31" s="96">
        <f t="shared" ref="H31" si="18">F31*G31</f>
        <v>4096</v>
      </c>
      <c r="I31" s="44"/>
      <c r="J31" s="96">
        <v>4096</v>
      </c>
      <c r="K31" s="96">
        <v>1</v>
      </c>
      <c r="L31" s="96">
        <f t="shared" ref="L31" si="19">J31*K31</f>
        <v>4096</v>
      </c>
      <c r="M31" s="103"/>
      <c r="N31" s="96">
        <v>4096</v>
      </c>
      <c r="O31" s="96">
        <v>1</v>
      </c>
      <c r="P31" s="96">
        <f t="shared" ref="P31" si="20">N31*O31</f>
        <v>4096</v>
      </c>
    </row>
    <row r="32" ht="16.5" spans="1:16">
      <c r="A32" s="82" t="s">
        <v>119</v>
      </c>
      <c r="B32" s="23">
        <f>Overview!C138</f>
        <v>32768</v>
      </c>
      <c r="C32" s="23">
        <v>2</v>
      </c>
      <c r="D32" s="97">
        <f t="shared" si="17"/>
        <v>65536</v>
      </c>
      <c r="E32" s="44"/>
      <c r="F32" s="3">
        <v>32768</v>
      </c>
      <c r="G32" s="3">
        <v>1</v>
      </c>
      <c r="H32" s="89">
        <f t="shared" si="14"/>
        <v>32768</v>
      </c>
      <c r="I32" s="44"/>
      <c r="J32" s="3">
        <v>32768</v>
      </c>
      <c r="K32" s="3">
        <v>1</v>
      </c>
      <c r="L32" s="89">
        <f t="shared" si="15"/>
        <v>32768</v>
      </c>
      <c r="M32" s="103"/>
      <c r="N32" s="3">
        <v>32768</v>
      </c>
      <c r="O32" s="3">
        <v>1</v>
      </c>
      <c r="P32" s="89">
        <f t="shared" si="16"/>
        <v>32768</v>
      </c>
    </row>
    <row r="33" ht="17.25" spans="1:16">
      <c r="A33" s="98" t="s">
        <v>120</v>
      </c>
      <c r="B33" s="62"/>
      <c r="C33" s="99"/>
      <c r="D33" s="100">
        <f>SUM(D3:D32)</f>
        <v>318596</v>
      </c>
      <c r="E33" s="44"/>
      <c r="F33" s="62"/>
      <c r="G33" s="101"/>
      <c r="H33" s="100">
        <f>SUM(H3:H32)</f>
        <v>242608</v>
      </c>
      <c r="I33" s="44"/>
      <c r="J33" s="99"/>
      <c r="K33" s="101"/>
      <c r="L33" s="100">
        <f>SUM(L3:L32)</f>
        <v>242608</v>
      </c>
      <c r="M33" s="103"/>
      <c r="N33" s="99"/>
      <c r="O33" s="99"/>
      <c r="P33" s="100">
        <f>SUM(P3:P32)</f>
        <v>242608</v>
      </c>
    </row>
    <row r="34" spans="2:15">
      <c r="B34" s="45"/>
      <c r="C34" s="45"/>
      <c r="F34" s="45"/>
      <c r="G34" s="45"/>
      <c r="K34" s="45"/>
      <c r="O34" s="45"/>
    </row>
  </sheetData>
  <mergeCells count="5">
    <mergeCell ref="B1:D1"/>
    <mergeCell ref="F1:H1"/>
    <mergeCell ref="J1:L1"/>
    <mergeCell ref="N1:P1"/>
    <mergeCell ref="A1:A2"/>
  </mergeCells>
  <conditionalFormatting sqref="F1:P33">
    <cfRule type="expression" dxfId="0" priority="12" stopIfTrue="1">
      <formula>NOT(OR(Overview!$C$2="315/316",Overview!$C$2="316x2"))</formula>
    </cfRule>
  </conditionalFormatting>
  <conditionalFormatting sqref="J1:P33">
    <cfRule type="expression" dxfId="0" priority="11" stopIfTrue="1">
      <formula>NOT(Overview!$C$2="316x2")</formula>
    </cfRule>
  </conditionalFormatting>
  <pageMargins left="0.699305555555556" right="0.699305555555556" top="0.75" bottom="0.75" header="0.3" footer="0.3"/>
  <pageSetup paperSize="148"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4"/>
  <dimension ref="A1:G70"/>
  <sheetViews>
    <sheetView topLeftCell="A22" workbookViewId="0">
      <selection activeCell="C77" sqref="C77"/>
    </sheetView>
  </sheetViews>
  <sheetFormatPr defaultColWidth="9" defaultRowHeight="14.25" outlineLevelCol="6"/>
  <cols>
    <col min="1" max="1" width="26.375" customWidth="1"/>
    <col min="2" max="2" width="21.625" customWidth="1"/>
    <col min="3" max="3" width="9.5" customWidth="1"/>
    <col min="4" max="4" width="9.25" customWidth="1"/>
    <col min="5" max="5" width="1.75" customWidth="1"/>
    <col min="6" max="6" width="26.875" customWidth="1"/>
    <col min="7" max="7" width="11.375" customWidth="1"/>
  </cols>
  <sheetData>
    <row r="1" ht="16.5" spans="1:4">
      <c r="A1" s="9" t="s">
        <v>9</v>
      </c>
      <c r="B1" s="10"/>
      <c r="C1" s="11"/>
      <c r="D1" s="11"/>
    </row>
    <row r="2" ht="6.6" customHeight="1"/>
    <row r="3" ht="16.9" customHeight="1" spans="1:4">
      <c r="A3" s="46" t="s">
        <v>121</v>
      </c>
      <c r="B3" s="47"/>
      <c r="C3" s="48" t="s">
        <v>122</v>
      </c>
      <c r="D3" s="48" t="s">
        <v>123</v>
      </c>
    </row>
    <row r="4" ht="16.9" customHeight="1" spans="1:7">
      <c r="A4" s="49" t="s">
        <v>124</v>
      </c>
      <c r="B4" s="50"/>
      <c r="C4" s="47">
        <f>Overview!C8</f>
        <v>1</v>
      </c>
      <c r="D4" s="47"/>
      <c r="F4" s="51" t="s">
        <v>125</v>
      </c>
      <c r="G4" s="52" t="s">
        <v>122</v>
      </c>
    </row>
    <row r="5" spans="1:7">
      <c r="A5" s="53" t="s">
        <v>126</v>
      </c>
      <c r="B5" s="54" t="s">
        <v>127</v>
      </c>
      <c r="C5" s="55">
        <f>IF(Overview!C9=0,0,1)</f>
        <v>1</v>
      </c>
      <c r="D5" s="56"/>
      <c r="F5" s="15" t="s">
        <v>128</v>
      </c>
      <c r="G5" s="3">
        <f>Overview!C21</f>
        <v>0</v>
      </c>
    </row>
    <row r="6" spans="1:7">
      <c r="A6" s="57"/>
      <c r="B6" s="15" t="s">
        <v>129</v>
      </c>
      <c r="C6" s="58">
        <f>C10</f>
        <v>3840</v>
      </c>
      <c r="D6" s="59"/>
      <c r="F6" s="15" t="s">
        <v>130</v>
      </c>
      <c r="G6" s="3">
        <v>960</v>
      </c>
    </row>
    <row r="7" spans="1:7">
      <c r="A7" s="57"/>
      <c r="B7" s="15" t="s">
        <v>131</v>
      </c>
      <c r="C7" s="58">
        <f>IF(G5=1,CEILING(C11,G7),C11)</f>
        <v>2160</v>
      </c>
      <c r="D7" s="59"/>
      <c r="F7" s="15" t="s">
        <v>132</v>
      </c>
      <c r="G7" s="3">
        <v>576</v>
      </c>
    </row>
    <row r="8" spans="1:7">
      <c r="A8" s="57"/>
      <c r="B8" s="15" t="s">
        <v>133</v>
      </c>
      <c r="C8" s="58">
        <f>Overview!C19</f>
        <v>4</v>
      </c>
      <c r="D8" s="59"/>
      <c r="F8" s="15" t="s">
        <v>134</v>
      </c>
      <c r="G8" s="3">
        <f>Overview!C22</f>
        <v>2</v>
      </c>
    </row>
    <row r="9" ht="15" spans="1:7">
      <c r="A9" s="60"/>
      <c r="B9" s="61" t="s">
        <v>135</v>
      </c>
      <c r="C9" s="62">
        <f>Overview!C20</f>
        <v>1.125</v>
      </c>
      <c r="D9" s="63"/>
      <c r="F9" s="15" t="s">
        <v>136</v>
      </c>
      <c r="G9" s="3">
        <v>2</v>
      </c>
    </row>
    <row r="10" spans="1:7">
      <c r="A10" s="53" t="s">
        <v>137</v>
      </c>
      <c r="B10" s="54" t="s">
        <v>130</v>
      </c>
      <c r="C10" s="55">
        <f>CEILING(Overview!C11,16)</f>
        <v>3840</v>
      </c>
      <c r="D10" s="56"/>
      <c r="F10" s="15" t="s">
        <v>138</v>
      </c>
      <c r="G10" s="3">
        <f>Overview!C22</f>
        <v>2</v>
      </c>
    </row>
    <row r="11" spans="1:7">
      <c r="A11" s="57"/>
      <c r="B11" s="15" t="s">
        <v>132</v>
      </c>
      <c r="C11" s="58">
        <f>CEILING(Overview!C12,16)</f>
        <v>2160</v>
      </c>
      <c r="D11" s="59"/>
      <c r="F11" s="15" t="s">
        <v>139</v>
      </c>
      <c r="G11" s="3">
        <f>IF(Overview!C2="321",1.125,1.5)</f>
        <v>1.125</v>
      </c>
    </row>
    <row r="12" spans="1:7">
      <c r="A12" s="60"/>
      <c r="B12" s="61" t="s">
        <v>133</v>
      </c>
      <c r="C12" s="62">
        <f>Overview!C13</f>
        <v>3</v>
      </c>
      <c r="D12" s="63"/>
      <c r="F12" s="64" t="s">
        <v>140</v>
      </c>
      <c r="G12" s="65">
        <f>CEILING((YUVSIZE(C6,C7,C9)*G8+YUVSIZE(C6,C7,G11)*G10)/1024,4)*G5</f>
        <v>0</v>
      </c>
    </row>
    <row r="13" ht="15" spans="1:7">
      <c r="A13" s="66"/>
      <c r="B13" s="67" t="s">
        <v>135</v>
      </c>
      <c r="C13" s="68">
        <f>Overview!C10</f>
        <v>1.5</v>
      </c>
      <c r="D13" s="69"/>
      <c r="F13" s="70"/>
      <c r="G13" s="71"/>
    </row>
    <row r="14" spans="1:4">
      <c r="A14" s="53" t="s">
        <v>141</v>
      </c>
      <c r="B14" s="54" t="s">
        <v>130</v>
      </c>
      <c r="C14" s="55">
        <f>CEILING(Overview!C15,16)</f>
        <v>3840</v>
      </c>
      <c r="D14" s="56"/>
    </row>
    <row r="15" spans="1:4">
      <c r="A15" s="57"/>
      <c r="B15" s="15" t="s">
        <v>132</v>
      </c>
      <c r="C15" s="58">
        <f>CEILING(Overview!C16,16)</f>
        <v>2160</v>
      </c>
      <c r="D15" s="59"/>
    </row>
    <row r="16" spans="1:4">
      <c r="A16" s="57"/>
      <c r="B16" s="15" t="s">
        <v>135</v>
      </c>
      <c r="C16" s="58">
        <f>Overview!C14</f>
        <v>4</v>
      </c>
      <c r="D16" s="59"/>
    </row>
    <row r="17" ht="15" spans="1:4">
      <c r="A17" s="66"/>
      <c r="B17" s="67" t="s">
        <v>142</v>
      </c>
      <c r="C17" s="68">
        <f>IF(Overview!C17=1,0.5,1)</f>
        <v>0.5</v>
      </c>
      <c r="D17" s="69"/>
    </row>
    <row r="18" spans="1:4">
      <c r="A18" s="72" t="s">
        <v>143</v>
      </c>
      <c r="B18" s="54" t="s">
        <v>127</v>
      </c>
      <c r="C18" s="55">
        <f>Overview!C18</f>
        <v>0</v>
      </c>
      <c r="D18" s="56"/>
    </row>
    <row r="19" spans="1:4">
      <c r="A19" s="73"/>
      <c r="B19" s="61" t="s">
        <v>135</v>
      </c>
      <c r="C19" s="74">
        <v>0.25</v>
      </c>
      <c r="D19" s="63" t="s">
        <v>144</v>
      </c>
    </row>
    <row r="20" spans="1:4">
      <c r="A20" s="18" t="s">
        <v>145</v>
      </c>
      <c r="B20" s="15"/>
      <c r="C20" s="3">
        <f>MAX(CEILING(((YUVSIZE(C6,C7,C9)+C6*16+C7*16)*C8)/1024,4),G12)*C5*C4</f>
        <v>36828</v>
      </c>
      <c r="D20" s="16"/>
    </row>
    <row r="21" spans="1:4">
      <c r="A21" s="18" t="s">
        <v>146</v>
      </c>
      <c r="B21" s="15"/>
      <c r="C21" s="3">
        <f>CEILING((YUVSIZE(C10,C11,C13)*C12)/1024,4)*C4</f>
        <v>36452</v>
      </c>
      <c r="D21" s="16"/>
    </row>
    <row r="22" spans="1:4">
      <c r="A22" s="18" t="s">
        <v>147</v>
      </c>
      <c r="B22" s="15"/>
      <c r="C22" s="3">
        <f>CEILING(YUVSIZE(C14,C15,C16)/1024,4)*C4</f>
        <v>32400</v>
      </c>
      <c r="D22" s="16"/>
    </row>
    <row r="23" spans="1:4">
      <c r="A23" s="18" t="s">
        <v>148</v>
      </c>
      <c r="B23" s="15"/>
      <c r="C23" s="3">
        <f>CEILING(C18*C10*C11*C19/1024,4)*C4</f>
        <v>0</v>
      </c>
      <c r="D23" s="16"/>
    </row>
    <row r="24" spans="1:4">
      <c r="A24" s="18" t="s">
        <v>149</v>
      </c>
      <c r="B24" s="15"/>
      <c r="C24" s="3">
        <f>C22*C17*2*C4*Overview!C17</f>
        <v>32400</v>
      </c>
      <c r="D24" s="16" t="s">
        <v>150</v>
      </c>
    </row>
    <row r="25" ht="15" spans="1:1">
      <c r="A25" s="43"/>
    </row>
    <row r="26" ht="17.25" spans="1:4">
      <c r="A26" s="46" t="s">
        <v>151</v>
      </c>
      <c r="B26" s="47"/>
      <c r="C26" s="48" t="s">
        <v>122</v>
      </c>
      <c r="D26" s="48" t="s">
        <v>123</v>
      </c>
    </row>
    <row r="27" ht="16.15" customHeight="1" spans="1:7">
      <c r="A27" s="49" t="s">
        <v>124</v>
      </c>
      <c r="B27" s="50"/>
      <c r="C27" s="47">
        <f>Overview!C23</f>
        <v>0</v>
      </c>
      <c r="D27" s="47"/>
      <c r="F27" s="51" t="s">
        <v>152</v>
      </c>
      <c r="G27" s="52" t="s">
        <v>122</v>
      </c>
    </row>
    <row r="28" spans="1:7">
      <c r="A28" s="53" t="s">
        <v>126</v>
      </c>
      <c r="B28" s="54" t="s">
        <v>127</v>
      </c>
      <c r="C28" s="55">
        <f>IF(Overview!C9=0,0,1)</f>
        <v>1</v>
      </c>
      <c r="D28" s="56"/>
      <c r="F28" s="15" t="s">
        <v>128</v>
      </c>
      <c r="G28" s="3">
        <f>Overview!C36</f>
        <v>0</v>
      </c>
    </row>
    <row r="29" spans="1:7">
      <c r="A29" s="57"/>
      <c r="B29" s="15" t="s">
        <v>129</v>
      </c>
      <c r="C29" s="58">
        <f>C33</f>
        <v>720</v>
      </c>
      <c r="D29" s="59"/>
      <c r="F29" s="15" t="s">
        <v>130</v>
      </c>
      <c r="G29" s="3">
        <v>960</v>
      </c>
    </row>
    <row r="30" spans="1:7">
      <c r="A30" s="57"/>
      <c r="B30" s="15" t="s">
        <v>131</v>
      </c>
      <c r="C30" s="58">
        <f>IF(G28=1,CEILING(C34,G30),C34)</f>
        <v>576</v>
      </c>
      <c r="D30" s="59"/>
      <c r="F30" s="15" t="s">
        <v>132</v>
      </c>
      <c r="G30" s="3">
        <v>576</v>
      </c>
    </row>
    <row r="31" spans="1:7">
      <c r="A31" s="57"/>
      <c r="B31" s="15" t="s">
        <v>133</v>
      </c>
      <c r="C31" s="58">
        <f>Overview!C34</f>
        <v>4</v>
      </c>
      <c r="D31" s="59"/>
      <c r="F31" s="15" t="s">
        <v>134</v>
      </c>
      <c r="G31" s="3">
        <f>Overview!C37</f>
        <v>2</v>
      </c>
    </row>
    <row r="32" ht="15" spans="1:7">
      <c r="A32" s="60"/>
      <c r="B32" s="61" t="s">
        <v>135</v>
      </c>
      <c r="C32" s="62">
        <f>Overview!C35</f>
        <v>1.125</v>
      </c>
      <c r="D32" s="63"/>
      <c r="F32" s="15" t="s">
        <v>136</v>
      </c>
      <c r="G32" s="3">
        <v>2</v>
      </c>
    </row>
    <row r="33" spans="1:7">
      <c r="A33" s="53" t="s">
        <v>137</v>
      </c>
      <c r="B33" s="54" t="s">
        <v>130</v>
      </c>
      <c r="C33" s="55">
        <f>CEILING(Overview!C26,16)</f>
        <v>720</v>
      </c>
      <c r="D33" s="56"/>
      <c r="F33" s="15" t="s">
        <v>138</v>
      </c>
      <c r="G33" s="3">
        <f>Overview!C37</f>
        <v>2</v>
      </c>
    </row>
    <row r="34" spans="1:7">
      <c r="A34" s="57"/>
      <c r="B34" s="15" t="s">
        <v>132</v>
      </c>
      <c r="C34" s="58">
        <f>CEILING(Overview!C27,16)</f>
        <v>576</v>
      </c>
      <c r="D34" s="59"/>
      <c r="F34" s="15" t="s">
        <v>139</v>
      </c>
      <c r="G34" s="3">
        <f>IF(Overview!C2="321",1.125,1.5)</f>
        <v>1.125</v>
      </c>
    </row>
    <row r="35" spans="1:7">
      <c r="A35" s="60"/>
      <c r="B35" s="61" t="s">
        <v>133</v>
      </c>
      <c r="C35" s="62">
        <f>Overview!C28</f>
        <v>3</v>
      </c>
      <c r="D35" s="63"/>
      <c r="F35" s="64" t="s">
        <v>153</v>
      </c>
      <c r="G35" s="65">
        <f>CEILING((YUVSIZE(C29,C30,G32)*G31+YUVSIZE(C29,C30,G34)*G33)/1024,4)*G28</f>
        <v>0</v>
      </c>
    </row>
    <row r="36" ht="16.15" customHeight="1" spans="1:7">
      <c r="A36" s="66"/>
      <c r="B36" s="67" t="s">
        <v>135</v>
      </c>
      <c r="C36" s="68">
        <f>Overview!C25</f>
        <v>2</v>
      </c>
      <c r="D36" s="69"/>
      <c r="F36" s="70"/>
      <c r="G36" s="71"/>
    </row>
    <row r="37" spans="1:4">
      <c r="A37" s="53" t="s">
        <v>141</v>
      </c>
      <c r="B37" s="54" t="s">
        <v>130</v>
      </c>
      <c r="C37" s="55">
        <f>CEILING(Overview!C26,16)</f>
        <v>720</v>
      </c>
      <c r="D37" s="56"/>
    </row>
    <row r="38" spans="1:4">
      <c r="A38" s="57"/>
      <c r="B38" s="15" t="s">
        <v>132</v>
      </c>
      <c r="C38" s="58">
        <f>CEILING(Overview!C27,16)</f>
        <v>576</v>
      </c>
      <c r="D38" s="59"/>
    </row>
    <row r="39" spans="1:4">
      <c r="A39" s="57"/>
      <c r="B39" s="15" t="s">
        <v>135</v>
      </c>
      <c r="C39" s="58">
        <f>Overview!C29</f>
        <v>2</v>
      </c>
      <c r="D39" s="59"/>
    </row>
    <row r="40" ht="15" spans="1:4">
      <c r="A40" s="66"/>
      <c r="B40" s="67" t="s">
        <v>142</v>
      </c>
      <c r="C40" s="68">
        <f>IF(Overview!C32=1,0.5,1)</f>
        <v>1</v>
      </c>
      <c r="D40" s="69"/>
    </row>
    <row r="41" spans="1:4">
      <c r="A41" s="72" t="s">
        <v>143</v>
      </c>
      <c r="B41" s="54" t="s">
        <v>127</v>
      </c>
      <c r="C41" s="55">
        <f>Overview!C33</f>
        <v>0</v>
      </c>
      <c r="D41" s="56"/>
    </row>
    <row r="42" spans="1:4">
      <c r="A42" s="73"/>
      <c r="B42" s="61" t="s">
        <v>135</v>
      </c>
      <c r="C42" s="74">
        <v>0.25</v>
      </c>
      <c r="D42" s="63" t="s">
        <v>144</v>
      </c>
    </row>
    <row r="43" spans="1:4">
      <c r="A43" s="18" t="s">
        <v>154</v>
      </c>
      <c r="B43" s="15"/>
      <c r="C43" s="3">
        <f>MAX(CEILING((YUVSIZE(C29,C30,C32)+C29*16+C30*16)*C31/1024,4),G35)*C28*C27</f>
        <v>0</v>
      </c>
      <c r="D43" s="16"/>
    </row>
    <row r="44" spans="1:4">
      <c r="A44" s="18" t="s">
        <v>155</v>
      </c>
      <c r="B44" s="15"/>
      <c r="C44" s="3">
        <f>CEILING((YUVSIZE(C33,C34,C36)*C35)/1024,4)*C27</f>
        <v>0</v>
      </c>
      <c r="D44" s="16"/>
    </row>
    <row r="45" spans="1:4">
      <c r="A45" s="18" t="s">
        <v>156</v>
      </c>
      <c r="B45" s="15"/>
      <c r="C45" s="3">
        <f>CEILING(YUVSIZE(C37,C38,C39)/1024,4)*C27</f>
        <v>0</v>
      </c>
      <c r="D45" s="16"/>
    </row>
    <row r="46" spans="1:4">
      <c r="A46" s="18" t="s">
        <v>157</v>
      </c>
      <c r="B46" s="15"/>
      <c r="C46" s="3">
        <f>CEILING(C41*C33*C34*C42/1024,4)*C27</f>
        <v>0</v>
      </c>
      <c r="D46" s="16"/>
    </row>
    <row r="47" spans="1:4">
      <c r="A47" s="18" t="s">
        <v>158</v>
      </c>
      <c r="B47" s="15"/>
      <c r="C47" s="3">
        <f>C45*C40*2*C27*Overview!C32</f>
        <v>0</v>
      </c>
      <c r="D47" s="16"/>
    </row>
    <row r="48" ht="15"/>
    <row r="49" ht="17.25" spans="1:4">
      <c r="A49" s="46" t="s">
        <v>159</v>
      </c>
      <c r="B49" s="47"/>
      <c r="C49" s="48" t="s">
        <v>122</v>
      </c>
      <c r="D49" s="48" t="s">
        <v>123</v>
      </c>
    </row>
    <row r="50" ht="17.25" spans="1:7">
      <c r="A50" s="49" t="s">
        <v>124</v>
      </c>
      <c r="B50" s="50"/>
      <c r="C50" s="47">
        <f>Overview!C38</f>
        <v>0</v>
      </c>
      <c r="D50" s="47"/>
      <c r="F50" s="51" t="s">
        <v>160</v>
      </c>
      <c r="G50" s="52" t="s">
        <v>122</v>
      </c>
    </row>
    <row r="51" ht="16.15" customHeight="1" spans="1:7">
      <c r="A51" s="53" t="s">
        <v>126</v>
      </c>
      <c r="B51" s="54" t="s">
        <v>127</v>
      </c>
      <c r="C51" s="55">
        <f>IF(Overview!C39=0,0,1)</f>
        <v>1</v>
      </c>
      <c r="D51" s="56"/>
      <c r="F51" s="15" t="s">
        <v>128</v>
      </c>
      <c r="G51" s="3">
        <f>Overview!C51</f>
        <v>1</v>
      </c>
    </row>
    <row r="52" spans="1:7">
      <c r="A52" s="57"/>
      <c r="B52" s="15" t="s">
        <v>129</v>
      </c>
      <c r="C52" s="58">
        <f>C37</f>
        <v>720</v>
      </c>
      <c r="D52" s="59"/>
      <c r="F52" s="15" t="s">
        <v>130</v>
      </c>
      <c r="G52" s="3">
        <v>960</v>
      </c>
    </row>
    <row r="53" spans="1:7">
      <c r="A53" s="57"/>
      <c r="B53" s="15" t="s">
        <v>131</v>
      </c>
      <c r="C53" s="58">
        <f>IF(G51=1,CEILING(C57,G53),C57)</f>
        <v>576</v>
      </c>
      <c r="D53" s="59"/>
      <c r="F53" s="15" t="s">
        <v>132</v>
      </c>
      <c r="G53" s="3">
        <v>576</v>
      </c>
    </row>
    <row r="54" spans="1:7">
      <c r="A54" s="57"/>
      <c r="B54" s="15" t="s">
        <v>133</v>
      </c>
      <c r="C54" s="58">
        <f>Overview!C49</f>
        <v>4</v>
      </c>
      <c r="D54" s="59"/>
      <c r="F54" s="15" t="s">
        <v>134</v>
      </c>
      <c r="G54" s="3">
        <f>Overview!C52</f>
        <v>2</v>
      </c>
    </row>
    <row r="55" ht="15" spans="1:7">
      <c r="A55" s="60"/>
      <c r="B55" s="61" t="s">
        <v>135</v>
      </c>
      <c r="C55" s="62">
        <f>Overview!C50</f>
        <v>1.125</v>
      </c>
      <c r="D55" s="63"/>
      <c r="F55" s="15" t="s">
        <v>136</v>
      </c>
      <c r="G55" s="3">
        <v>2</v>
      </c>
    </row>
    <row r="56" spans="1:7">
      <c r="A56" s="53" t="s">
        <v>137</v>
      </c>
      <c r="B56" s="54" t="s">
        <v>130</v>
      </c>
      <c r="C56" s="55">
        <f>CEILING(Overview!C41,16)</f>
        <v>720</v>
      </c>
      <c r="D56" s="56"/>
      <c r="F56" s="15" t="s">
        <v>138</v>
      </c>
      <c r="G56" s="3">
        <f>Overview!C52</f>
        <v>2</v>
      </c>
    </row>
    <row r="57" ht="16.15" customHeight="1" spans="1:7">
      <c r="A57" s="57"/>
      <c r="B57" s="15" t="s">
        <v>132</v>
      </c>
      <c r="C57" s="58">
        <f>CEILING(Overview!C42,16)</f>
        <v>576</v>
      </c>
      <c r="D57" s="59"/>
      <c r="F57" s="15" t="s">
        <v>139</v>
      </c>
      <c r="G57" s="3">
        <f>IF(Overview!C2="321",1.125,1.5)</f>
        <v>1.125</v>
      </c>
    </row>
    <row r="58" spans="1:7">
      <c r="A58" s="60"/>
      <c r="B58" s="61" t="s">
        <v>133</v>
      </c>
      <c r="C58" s="62">
        <f>Overview!C43</f>
        <v>3</v>
      </c>
      <c r="D58" s="63"/>
      <c r="F58" s="64" t="s">
        <v>161</v>
      </c>
      <c r="G58" s="65">
        <f>CEILING((YUVSIZE(C52,C53,G55)*G54+YUVSIZE(C52,C53,G57)*G56)/1024,4)*G51</f>
        <v>2568</v>
      </c>
    </row>
    <row r="59" ht="15" spans="1:7">
      <c r="A59" s="66"/>
      <c r="B59" s="67" t="s">
        <v>135</v>
      </c>
      <c r="C59" s="68">
        <f>Overview!C40</f>
        <v>2</v>
      </c>
      <c r="D59" s="69"/>
      <c r="F59" s="70"/>
      <c r="G59" s="71"/>
    </row>
    <row r="60" spans="1:4">
      <c r="A60" s="53" t="s">
        <v>141</v>
      </c>
      <c r="B60" s="54" t="s">
        <v>130</v>
      </c>
      <c r="C60" s="55">
        <f>CEILING(Overview!C45,16)</f>
        <v>720</v>
      </c>
      <c r="D60" s="56"/>
    </row>
    <row r="61" ht="16.15" customHeight="1" spans="1:4">
      <c r="A61" s="57"/>
      <c r="B61" s="15" t="s">
        <v>132</v>
      </c>
      <c r="C61" s="58">
        <f>CEILING(Overview!C46,16)</f>
        <v>576</v>
      </c>
      <c r="D61" s="59"/>
    </row>
    <row r="62" spans="1:4">
      <c r="A62" s="57"/>
      <c r="B62" s="15" t="s">
        <v>135</v>
      </c>
      <c r="C62" s="58">
        <f>Overview!C44</f>
        <v>2</v>
      </c>
      <c r="D62" s="59"/>
    </row>
    <row r="63" ht="15" spans="1:4">
      <c r="A63" s="66"/>
      <c r="B63" s="67" t="s">
        <v>142</v>
      </c>
      <c r="C63" s="68">
        <f>IF(Overview!C47=1,0.5,1)</f>
        <v>1</v>
      </c>
      <c r="D63" s="69"/>
    </row>
    <row r="64" spans="1:4">
      <c r="A64" s="72" t="s">
        <v>143</v>
      </c>
      <c r="B64" s="54" t="s">
        <v>127</v>
      </c>
      <c r="C64" s="55">
        <f>Overview!C48</f>
        <v>0</v>
      </c>
      <c r="D64" s="56"/>
    </row>
    <row r="65" spans="1:4">
      <c r="A65" s="73"/>
      <c r="B65" s="61" t="s">
        <v>135</v>
      </c>
      <c r="C65" s="74">
        <v>0.25</v>
      </c>
      <c r="D65" s="63" t="s">
        <v>144</v>
      </c>
    </row>
    <row r="66" spans="1:4">
      <c r="A66" s="18" t="s">
        <v>162</v>
      </c>
      <c r="B66" s="15"/>
      <c r="C66" s="3">
        <f>MAX(CEILING((YUVSIZE(C52,C53,C55)+C52*16+C53*16)*C54/1024,4),G58)*C51*C50</f>
        <v>0</v>
      </c>
      <c r="D66" s="16"/>
    </row>
    <row r="67" spans="1:4">
      <c r="A67" s="18" t="s">
        <v>163</v>
      </c>
      <c r="B67" s="15"/>
      <c r="C67" s="3">
        <f>CEILING((YUVSIZE(C56,C57,C59)*C58)/1024,4)*C50</f>
        <v>0</v>
      </c>
      <c r="D67" s="16"/>
    </row>
    <row r="68" spans="1:4">
      <c r="A68" s="18" t="s">
        <v>164</v>
      </c>
      <c r="B68" s="15"/>
      <c r="C68" s="3">
        <f>CEILING(YUVSIZE(C60,C61,C62)/1024,4)*C50</f>
        <v>0</v>
      </c>
      <c r="D68" s="16"/>
    </row>
    <row r="69" spans="1:4">
      <c r="A69" s="18" t="s">
        <v>165</v>
      </c>
      <c r="B69" s="15"/>
      <c r="C69" s="3">
        <f>CEILING(C64*C56*C57*C65/1024,4)*C50</f>
        <v>0</v>
      </c>
      <c r="D69" s="16"/>
    </row>
    <row r="70" spans="1:4">
      <c r="A70" s="18" t="s">
        <v>166</v>
      </c>
      <c r="B70" s="15"/>
      <c r="C70" s="3">
        <f>C68*C63*2*C50*Overview!C47</f>
        <v>0</v>
      </c>
      <c r="D70" s="16"/>
    </row>
  </sheetData>
  <mergeCells count="34">
    <mergeCell ref="A1:D1"/>
    <mergeCell ref="A3:B3"/>
    <mergeCell ref="A4:B4"/>
    <mergeCell ref="A20:B20"/>
    <mergeCell ref="A21:B21"/>
    <mergeCell ref="A22:B22"/>
    <mergeCell ref="A23:B23"/>
    <mergeCell ref="A24:B24"/>
    <mergeCell ref="A26:B26"/>
    <mergeCell ref="A27:B27"/>
    <mergeCell ref="A43:B43"/>
    <mergeCell ref="A44:B44"/>
    <mergeCell ref="A45:B45"/>
    <mergeCell ref="A46:B46"/>
    <mergeCell ref="A47:B47"/>
    <mergeCell ref="A49:B49"/>
    <mergeCell ref="A50:B50"/>
    <mergeCell ref="A66:B66"/>
    <mergeCell ref="A67:B67"/>
    <mergeCell ref="A68:B68"/>
    <mergeCell ref="A69:B69"/>
    <mergeCell ref="A70:B70"/>
    <mergeCell ref="A5:A9"/>
    <mergeCell ref="A10:A13"/>
    <mergeCell ref="A14:A17"/>
    <mergeCell ref="A18:A19"/>
    <mergeCell ref="A28:A32"/>
    <mergeCell ref="A33:A36"/>
    <mergeCell ref="A37:A40"/>
    <mergeCell ref="A41:A42"/>
    <mergeCell ref="A51:A55"/>
    <mergeCell ref="A56:A59"/>
    <mergeCell ref="A60:A63"/>
    <mergeCell ref="A64:A65"/>
  </mergeCells>
  <dataValidations count="1">
    <dataValidation type="list" allowBlank="1" showInputMessage="1" showErrorMessage="1" sqref="C51">
      <formula1>"0,1"</formula1>
    </dataValidation>
  </dataValidations>
  <pageMargins left="0.699305555555556" right="0.699305555555556" top="0.75" bottom="0.75" header="0.3" footer="0.3"/>
  <pageSetup paperSize="148"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1"/>
  <dimension ref="A1:Q83"/>
  <sheetViews>
    <sheetView workbookViewId="0">
      <selection activeCell="N18" sqref="N18"/>
    </sheetView>
  </sheetViews>
  <sheetFormatPr defaultColWidth="9" defaultRowHeight="14.25"/>
  <cols>
    <col min="1" max="1" width="27" customWidth="1"/>
    <col min="2" max="2" width="9.5" style="2" customWidth="1"/>
    <col min="3" max="3" width="8.875" style="2"/>
    <col min="4" max="4" width="1.5" customWidth="1"/>
    <col min="5" max="5" width="27.25" customWidth="1"/>
    <col min="7" max="7" width="9.375" customWidth="1"/>
    <col min="8" max="8" width="1.375" customWidth="1"/>
    <col min="9" max="9" width="27.125" customWidth="1"/>
    <col min="10" max="10" width="9.125" customWidth="1"/>
    <col min="12" max="12" width="1.125" customWidth="1"/>
    <col min="13" max="13" width="27.5" customWidth="1"/>
  </cols>
  <sheetData>
    <row r="1" ht="16.5" spans="1:15">
      <c r="A1" s="9" t="s">
        <v>9</v>
      </c>
      <c r="B1" s="10"/>
      <c r="C1" s="11"/>
      <c r="E1" s="9" t="s">
        <v>10</v>
      </c>
      <c r="F1" s="10"/>
      <c r="G1" s="11"/>
      <c r="I1" s="9" t="s">
        <v>11</v>
      </c>
      <c r="J1" s="10"/>
      <c r="K1" s="11"/>
      <c r="M1" s="9" t="s">
        <v>12</v>
      </c>
      <c r="N1" s="10"/>
      <c r="O1" s="11"/>
    </row>
    <row r="2" ht="10.15" customHeight="1" spans="3:17">
      <c r="C2" s="36"/>
      <c r="D2" s="12"/>
      <c r="E2" s="37"/>
      <c r="F2" s="38"/>
      <c r="G2" s="38"/>
      <c r="I2" s="38"/>
      <c r="J2" s="38"/>
      <c r="K2" s="38"/>
      <c r="L2" s="38"/>
      <c r="M2" s="41"/>
      <c r="N2" s="37"/>
      <c r="O2" s="38"/>
      <c r="Q2" s="42"/>
    </row>
    <row r="3" ht="16.5" spans="1:15">
      <c r="A3" s="13" t="s">
        <v>47</v>
      </c>
      <c r="B3" s="14" t="s">
        <v>122</v>
      </c>
      <c r="C3" s="14" t="s">
        <v>123</v>
      </c>
      <c r="E3" s="13" t="s">
        <v>47</v>
      </c>
      <c r="F3" s="14" t="s">
        <v>122</v>
      </c>
      <c r="G3" s="14" t="s">
        <v>123</v>
      </c>
      <c r="I3" s="13" t="s">
        <v>47</v>
      </c>
      <c r="J3" s="14" t="s">
        <v>122</v>
      </c>
      <c r="K3" s="14" t="s">
        <v>123</v>
      </c>
      <c r="M3" s="13" t="s">
        <v>47</v>
      </c>
      <c r="N3" s="14" t="s">
        <v>122</v>
      </c>
      <c r="O3" s="14" t="s">
        <v>123</v>
      </c>
    </row>
    <row r="4" spans="1:15">
      <c r="A4" s="26" t="s">
        <v>32</v>
      </c>
      <c r="B4" s="3">
        <f>Overview!C75</f>
        <v>2</v>
      </c>
      <c r="C4" s="3"/>
      <c r="E4" s="26" t="s">
        <v>32</v>
      </c>
      <c r="F4" s="3">
        <f>Overview!G75</f>
        <v>4</v>
      </c>
      <c r="G4" s="16"/>
      <c r="I4" s="26" t="s">
        <v>32</v>
      </c>
      <c r="J4" s="3">
        <f>Overview!K75</f>
        <v>4</v>
      </c>
      <c r="K4" s="16"/>
      <c r="M4" s="26" t="s">
        <v>32</v>
      </c>
      <c r="N4" s="3">
        <f>Overview!O75</f>
        <v>4</v>
      </c>
      <c r="O4" s="16"/>
    </row>
    <row r="5" spans="1:15">
      <c r="A5" s="26" t="s">
        <v>130</v>
      </c>
      <c r="B5" s="3">
        <f>CEILING(Overview!C76,16)</f>
        <v>1920</v>
      </c>
      <c r="C5" s="3"/>
      <c r="E5" s="26" t="s">
        <v>130</v>
      </c>
      <c r="F5" s="3">
        <f>CEILING(Overview!G76,16)</f>
        <v>1920</v>
      </c>
      <c r="G5" s="16"/>
      <c r="I5" s="26" t="s">
        <v>130</v>
      </c>
      <c r="J5" s="3">
        <f>CEILING(Overview!K76,16)</f>
        <v>1920</v>
      </c>
      <c r="K5" s="16"/>
      <c r="M5" s="26" t="s">
        <v>130</v>
      </c>
      <c r="N5" s="3">
        <f>CEILING(Overview!O76,16)</f>
        <v>1920</v>
      </c>
      <c r="O5" s="16"/>
    </row>
    <row r="6" spans="1:15">
      <c r="A6" s="26" t="s">
        <v>132</v>
      </c>
      <c r="B6" s="3">
        <f>CEILING(Overview!C77,16)</f>
        <v>1088</v>
      </c>
      <c r="C6" s="3"/>
      <c r="E6" s="26" t="s">
        <v>132</v>
      </c>
      <c r="F6" s="3">
        <f>CEILING(Overview!G77,16)</f>
        <v>1088</v>
      </c>
      <c r="G6" s="16"/>
      <c r="I6" s="26" t="s">
        <v>132</v>
      </c>
      <c r="J6" s="3">
        <f>CEILING(Overview!K77,16)</f>
        <v>1088</v>
      </c>
      <c r="K6" s="16"/>
      <c r="M6" s="26" t="s">
        <v>132</v>
      </c>
      <c r="N6" s="3">
        <f>CEILING(Overview!O77,16)</f>
        <v>1088</v>
      </c>
      <c r="O6" s="16"/>
    </row>
    <row r="7" spans="1:15">
      <c r="A7" s="26" t="s">
        <v>133</v>
      </c>
      <c r="B7" s="3">
        <f>Overview!C78</f>
        <v>2</v>
      </c>
      <c r="C7" s="3"/>
      <c r="E7" s="26" t="s">
        <v>133</v>
      </c>
      <c r="F7" s="3">
        <f>Overview!G78</f>
        <v>4</v>
      </c>
      <c r="G7" s="16"/>
      <c r="I7" s="26" t="s">
        <v>133</v>
      </c>
      <c r="J7" s="3">
        <f>Overview!K78</f>
        <v>4</v>
      </c>
      <c r="K7" s="16"/>
      <c r="M7" s="26" t="s">
        <v>133</v>
      </c>
      <c r="N7" s="3">
        <f>Overview!O78</f>
        <v>4</v>
      </c>
      <c r="O7" s="16"/>
    </row>
    <row r="8" spans="1:15">
      <c r="A8" s="26" t="s">
        <v>167</v>
      </c>
      <c r="B8" s="3">
        <f>Overview!C84</f>
        <v>8192</v>
      </c>
      <c r="C8" s="3"/>
      <c r="E8" s="26" t="s">
        <v>167</v>
      </c>
      <c r="F8" s="3">
        <f>Overview!G84</f>
        <v>8192</v>
      </c>
      <c r="G8" s="16"/>
      <c r="I8" s="26" t="s">
        <v>167</v>
      </c>
      <c r="J8" s="3">
        <f>Overview!K84</f>
        <v>8192</v>
      </c>
      <c r="K8" s="16"/>
      <c r="M8" s="26" t="s">
        <v>167</v>
      </c>
      <c r="N8" s="3">
        <f>Overview!O84</f>
        <v>8192</v>
      </c>
      <c r="O8" s="16"/>
    </row>
    <row r="9" spans="1:15">
      <c r="A9" s="26" t="s">
        <v>135</v>
      </c>
      <c r="B9" s="3">
        <f>Overview!C79</f>
        <v>1.125</v>
      </c>
      <c r="C9" s="3"/>
      <c r="E9" s="26" t="s">
        <v>135</v>
      </c>
      <c r="F9" s="3">
        <f>Overview!G79</f>
        <v>1.125</v>
      </c>
      <c r="G9" s="3"/>
      <c r="I9" s="26" t="s">
        <v>135</v>
      </c>
      <c r="J9" s="3">
        <f>Overview!K79</f>
        <v>1.125</v>
      </c>
      <c r="K9" s="3"/>
      <c r="M9" s="26" t="s">
        <v>135</v>
      </c>
      <c r="N9" s="3">
        <f>Overview!O79</f>
        <v>1.125</v>
      </c>
      <c r="O9" s="3"/>
    </row>
    <row r="10" spans="1:15">
      <c r="A10" s="26" t="s">
        <v>168</v>
      </c>
      <c r="B10" s="3">
        <f>Overview!C85</f>
        <v>0.3</v>
      </c>
      <c r="C10" s="3"/>
      <c r="E10" s="26" t="s">
        <v>168</v>
      </c>
      <c r="F10" s="3">
        <f>Overview!G85</f>
        <v>0.3</v>
      </c>
      <c r="G10" s="16"/>
      <c r="I10" s="26" t="s">
        <v>168</v>
      </c>
      <c r="J10" s="3">
        <f>B10</f>
        <v>0.3</v>
      </c>
      <c r="K10" s="16"/>
      <c r="M10" s="26" t="s">
        <v>168</v>
      </c>
      <c r="N10" s="3">
        <f>B10</f>
        <v>0.3</v>
      </c>
      <c r="O10" s="16"/>
    </row>
    <row r="11" spans="1:15">
      <c r="A11" s="39" t="s">
        <v>169</v>
      </c>
      <c r="B11" s="3">
        <v>7</v>
      </c>
      <c r="C11" s="3"/>
      <c r="E11" s="39" t="s">
        <v>169</v>
      </c>
      <c r="F11" s="3">
        <f>Overview!G86</f>
        <v>5</v>
      </c>
      <c r="G11" s="16"/>
      <c r="I11" s="39" t="s">
        <v>169</v>
      </c>
      <c r="J11" s="3">
        <f>Overview!K86</f>
        <v>5</v>
      </c>
      <c r="K11" s="16"/>
      <c r="M11" s="39" t="s">
        <v>169</v>
      </c>
      <c r="N11" s="3">
        <f>Overview!O86</f>
        <v>5</v>
      </c>
      <c r="O11" s="16"/>
    </row>
    <row r="12" spans="1:15">
      <c r="A12" s="39" t="s">
        <v>170</v>
      </c>
      <c r="B12" s="3">
        <f>Overview!C80</f>
        <v>1</v>
      </c>
      <c r="C12" s="40"/>
      <c r="E12" s="39" t="s">
        <v>170</v>
      </c>
      <c r="F12" s="3">
        <f>Overview!G80</f>
        <v>1</v>
      </c>
      <c r="G12" s="34"/>
      <c r="I12" s="39" t="s">
        <v>170</v>
      </c>
      <c r="J12" s="3">
        <f>Overview!K80</f>
        <v>1</v>
      </c>
      <c r="K12" s="34"/>
      <c r="M12" s="39" t="s">
        <v>170</v>
      </c>
      <c r="N12" s="3">
        <f>Overview!O80</f>
        <v>1</v>
      </c>
      <c r="O12" s="34"/>
    </row>
    <row r="13" spans="1:15">
      <c r="A13" s="39" t="s">
        <v>50</v>
      </c>
      <c r="B13" s="3">
        <f>CEILING(Overview!C81,16)</f>
        <v>1920</v>
      </c>
      <c r="C13" s="40"/>
      <c r="E13" s="39" t="s">
        <v>50</v>
      </c>
      <c r="F13" s="3">
        <f>CEILING(Overview!G81,16)</f>
        <v>1920</v>
      </c>
      <c r="G13" s="34"/>
      <c r="I13" s="39" t="s">
        <v>50</v>
      </c>
      <c r="J13" s="3">
        <f>CEILING(Overview!K81,16)</f>
        <v>1920</v>
      </c>
      <c r="K13" s="34"/>
      <c r="M13" s="39" t="s">
        <v>50</v>
      </c>
      <c r="N13" s="3">
        <f>CEILING(Overview!O81,16)</f>
        <v>1920</v>
      </c>
      <c r="O13" s="34"/>
    </row>
    <row r="14" spans="1:15">
      <c r="A14" s="39" t="s">
        <v>51</v>
      </c>
      <c r="B14" s="3">
        <f>CEILING(Overview!C82,16)</f>
        <v>1088</v>
      </c>
      <c r="C14" s="40"/>
      <c r="E14" s="39" t="s">
        <v>51</v>
      </c>
      <c r="F14" s="3">
        <f>CEILING(Overview!G82,16)</f>
        <v>1088</v>
      </c>
      <c r="G14" s="34"/>
      <c r="I14" s="39" t="s">
        <v>51</v>
      </c>
      <c r="J14" s="3">
        <f>CEILING(Overview!K82,16)</f>
        <v>1088</v>
      </c>
      <c r="K14" s="34"/>
      <c r="M14" s="39" t="s">
        <v>51</v>
      </c>
      <c r="N14" s="3">
        <f>CEILING(Overview!O82,16)</f>
        <v>1088</v>
      </c>
      <c r="O14" s="34"/>
    </row>
    <row r="15" spans="1:15">
      <c r="A15" s="26" t="s">
        <v>171</v>
      </c>
      <c r="B15" s="3">
        <f>IF(B4&gt;0,CEILING(YUVSIZE(B5,B6,B9)/1024,4),0)</f>
        <v>2296</v>
      </c>
      <c r="C15" s="3"/>
      <c r="E15" s="26" t="s">
        <v>171</v>
      </c>
      <c r="F15" s="3">
        <f>IF(F4&gt;0,CEILING(YUVSIZE(F5,F6,F9)/1024,4),0)</f>
        <v>2296</v>
      </c>
      <c r="G15" s="16"/>
      <c r="I15" s="26" t="s">
        <v>171</v>
      </c>
      <c r="J15" s="3">
        <f>IF(J4&gt;0,CEILING(YUVSIZE(J5,J6,J9)/1024,4),0)</f>
        <v>2296</v>
      </c>
      <c r="K15" s="16"/>
      <c r="M15" s="26" t="s">
        <v>171</v>
      </c>
      <c r="N15" s="3">
        <f>IF(N4&gt;0,CEILING(YUVSIZE(N5,N6,N9)/1024,4),0)</f>
        <v>2296</v>
      </c>
      <c r="O15" s="16"/>
    </row>
    <row r="16" spans="1:15">
      <c r="A16" s="28" t="s">
        <v>172</v>
      </c>
      <c r="B16" s="3">
        <f>IF(B83*B4*B76&gt;B4*B7*B15,B83*B4,B4*B7*B15)</f>
        <v>9184</v>
      </c>
      <c r="C16" s="3"/>
      <c r="E16" s="28" t="s">
        <v>172</v>
      </c>
      <c r="F16" s="3">
        <f>IF(F83*F4*F76&gt;F4*F7*F15,F83*F4,F4*F7*F15)</f>
        <v>36736</v>
      </c>
      <c r="G16" s="16"/>
      <c r="I16" s="28" t="s">
        <v>172</v>
      </c>
      <c r="J16" s="3">
        <f>IF(J83*J4*J76&gt;J4*J7*J15,J83*J4,J4*J7*J15)</f>
        <v>36736</v>
      </c>
      <c r="K16" s="16"/>
      <c r="M16" s="28" t="s">
        <v>172</v>
      </c>
      <c r="N16" s="3">
        <f>IF(N83*N4*N76&gt;N4*N7*N15,N83*N4,N4*N7*N15)</f>
        <v>36736</v>
      </c>
      <c r="O16" s="16"/>
    </row>
    <row r="17" spans="1:15">
      <c r="A17" s="28" t="s">
        <v>173</v>
      </c>
      <c r="B17" s="3">
        <f>CEILING((((ENC_BS_SIZE(B5,B6,B10)*2)/1024+(B8/8/25)*(B11-2)))*B4,4)+F17+J17+N17</f>
        <v>3164</v>
      </c>
      <c r="C17" s="3"/>
      <c r="E17" s="28" t="s">
        <v>173</v>
      </c>
      <c r="F17" s="3">
        <f>IF(OR(Overview!$C$2="315/316",Overview!$C$2="316x2"),CEILING((((ENC_BS_SIZE(F5,F6,F10)*2)/1024+(F8/8/25)*(F11-2)))*F4,4),0)</f>
        <v>0</v>
      </c>
      <c r="G17" s="16"/>
      <c r="I17" s="28" t="s">
        <v>173</v>
      </c>
      <c r="J17" s="3">
        <f>IF(Overview!$C$2="316x2",CEILING((((ENC_BS_SIZE(J5,J6,J10)*2)/1024+(J8/8/25)*(J11-2)))*J4,4),0)</f>
        <v>0</v>
      </c>
      <c r="K17" s="16"/>
      <c r="M17" s="28" t="s">
        <v>173</v>
      </c>
      <c r="N17" s="3">
        <f>IF(Overview!$C$2="316x2",CEILING((((ENC_BS_SIZE(N5,N6,N10)*2)/1024+(N8/8/25)*(N11-2)))*N4,4),0)</f>
        <v>0</v>
      </c>
      <c r="O17" s="16"/>
    </row>
    <row r="18" spans="1:15">
      <c r="A18" s="28" t="s">
        <v>174</v>
      </c>
      <c r="B18" s="3">
        <f>IF(B4&gt;0,CEILING(CEILING(B13,64)*CEILING(B14,64)*1.5*C18/1024,4),0)</f>
        <v>3244</v>
      </c>
      <c r="C18" s="3">
        <v>1.06</v>
      </c>
      <c r="E18" s="28" t="s">
        <v>174</v>
      </c>
      <c r="F18" s="3">
        <f>IF(F4&gt;0,CEILING(CEILING(F13,64)*CEILING(F14,64)*1.5*G18/1024,4),0)</f>
        <v>3244</v>
      </c>
      <c r="G18" s="3">
        <f>C18</f>
        <v>1.06</v>
      </c>
      <c r="I18" s="28" t="s">
        <v>174</v>
      </c>
      <c r="J18" s="3">
        <f>IF(J4&gt;0,CEILING(CEILING(J13,64)*CEILING(J14,64)*1.5*K18/1024,4),0)</f>
        <v>3244</v>
      </c>
      <c r="K18" s="3">
        <f>C18</f>
        <v>1.06</v>
      </c>
      <c r="M18" s="28" t="s">
        <v>174</v>
      </c>
      <c r="N18" s="3">
        <f>IF(N4&gt;0,CEILING(CEILING(N13,64)*CEILING(N14,64)*1.5*O18/1024,4),0)</f>
        <v>3244</v>
      </c>
      <c r="O18" s="3">
        <f>C18</f>
        <v>1.06</v>
      </c>
    </row>
    <row r="19" spans="1:15">
      <c r="A19" s="18" t="s">
        <v>175</v>
      </c>
      <c r="B19" s="3">
        <f>B4*B12</f>
        <v>2</v>
      </c>
      <c r="C19" s="3"/>
      <c r="E19" s="18" t="s">
        <v>175</v>
      </c>
      <c r="F19" s="3">
        <f>F4*F12</f>
        <v>4</v>
      </c>
      <c r="G19" s="16"/>
      <c r="I19" s="18" t="s">
        <v>175</v>
      </c>
      <c r="J19" s="3">
        <f>J4*J12</f>
        <v>4</v>
      </c>
      <c r="K19" s="16"/>
      <c r="M19" s="18" t="s">
        <v>175</v>
      </c>
      <c r="N19" s="3">
        <f>N4*N12</f>
        <v>4</v>
      </c>
      <c r="O19" s="16"/>
    </row>
    <row r="20" spans="1:15">
      <c r="A20" s="18" t="s">
        <v>52</v>
      </c>
      <c r="B20" s="3">
        <f>Overview!C83</f>
        <v>0</v>
      </c>
      <c r="C20" s="3"/>
      <c r="E20" s="18" t="s">
        <v>52</v>
      </c>
      <c r="F20" s="3">
        <f>Overview!G83</f>
        <v>0</v>
      </c>
      <c r="G20" s="16"/>
      <c r="I20" s="18" t="s">
        <v>52</v>
      </c>
      <c r="J20" s="3">
        <f>Overview!K83</f>
        <v>0</v>
      </c>
      <c r="K20" s="16"/>
      <c r="M20" s="18" t="s">
        <v>52</v>
      </c>
      <c r="N20" s="3">
        <f>Overview!O83</f>
        <v>0</v>
      </c>
      <c r="O20" s="16"/>
    </row>
    <row r="21" spans="1:15">
      <c r="A21" s="18" t="s">
        <v>176</v>
      </c>
      <c r="B21" s="3">
        <f>IF(B4&gt;0,B20*CEILING((CEILING(B13,64)*CEILING(B14,64)*1.5)*C21/1024,4),0)</f>
        <v>0</v>
      </c>
      <c r="C21" s="3">
        <f>IF(Overview!C2="321",0.76,1.06)</f>
        <v>0.76</v>
      </c>
      <c r="E21" s="18" t="s">
        <v>176</v>
      </c>
      <c r="F21" s="3">
        <f>IF(F4&gt;0,F20*CEILING((CEILING(F13,64)*CEILING(F14,64)*1.5)*G21/1024,4),0)</f>
        <v>0</v>
      </c>
      <c r="G21" s="3">
        <f>IF(Overview!G2="321",0.76,1.06)</f>
        <v>1.06</v>
      </c>
      <c r="I21" s="18" t="s">
        <v>176</v>
      </c>
      <c r="J21" s="3">
        <f>IF(J4&gt;0,J20*CEILING((CEILING(J13,64)*CEILING(J14,64)*1.5)*K21/1024,4),0)</f>
        <v>0</v>
      </c>
      <c r="K21" s="3">
        <f>IF(Overview!K2="321",0.76,1.06)</f>
        <v>1.06</v>
      </c>
      <c r="M21" s="18" t="s">
        <v>176</v>
      </c>
      <c r="N21" s="3">
        <f>IF(N4&gt;0,N20*CEILING((CEILING(N13,64)*CEILING(N14,64)*1.5)*O21/1024,4),0)</f>
        <v>0</v>
      </c>
      <c r="O21" s="3">
        <f>IF(Overview!O2="321",0.76,1.06)</f>
        <v>1.06</v>
      </c>
    </row>
    <row r="22" spans="1:15">
      <c r="A22" s="18" t="s">
        <v>177</v>
      </c>
      <c r="B22" s="3">
        <f>B4</f>
        <v>2</v>
      </c>
      <c r="C22" s="3"/>
      <c r="E22" s="18" t="s">
        <v>177</v>
      </c>
      <c r="F22" s="3">
        <f>F4</f>
        <v>4</v>
      </c>
      <c r="G22" s="16"/>
      <c r="I22" s="18" t="s">
        <v>177</v>
      </c>
      <c r="J22" s="3">
        <f>J4</f>
        <v>4</v>
      </c>
      <c r="K22" s="16"/>
      <c r="M22" s="18" t="s">
        <v>177</v>
      </c>
      <c r="N22" s="3">
        <f>N4</f>
        <v>4</v>
      </c>
      <c r="O22" s="16"/>
    </row>
    <row r="24" ht="16.5" spans="1:15">
      <c r="A24" s="13" t="s">
        <v>53</v>
      </c>
      <c r="B24" s="14" t="s">
        <v>122</v>
      </c>
      <c r="C24" s="14" t="s">
        <v>123</v>
      </c>
      <c r="E24" s="13" t="s">
        <v>53</v>
      </c>
      <c r="F24" s="14" t="s">
        <v>122</v>
      </c>
      <c r="G24" s="14" t="s">
        <v>123</v>
      </c>
      <c r="I24" s="13" t="s">
        <v>53</v>
      </c>
      <c r="J24" s="14" t="s">
        <v>122</v>
      </c>
      <c r="K24" s="14" t="s">
        <v>123</v>
      </c>
      <c r="M24" s="13" t="s">
        <v>53</v>
      </c>
      <c r="N24" s="14" t="s">
        <v>122</v>
      </c>
      <c r="O24" s="14" t="s">
        <v>123</v>
      </c>
    </row>
    <row r="25" spans="1:15">
      <c r="A25" s="26" t="s">
        <v>32</v>
      </c>
      <c r="B25" s="3">
        <f>Overview!C87</f>
        <v>0</v>
      </c>
      <c r="C25" s="3"/>
      <c r="E25" s="26" t="s">
        <v>32</v>
      </c>
      <c r="F25" s="3">
        <f>Overview!G87</f>
        <v>0</v>
      </c>
      <c r="G25" s="16"/>
      <c r="I25" s="26" t="s">
        <v>32</v>
      </c>
      <c r="J25" s="3">
        <f>Overview!K87</f>
        <v>0</v>
      </c>
      <c r="K25" s="16"/>
      <c r="M25" s="26" t="s">
        <v>32</v>
      </c>
      <c r="N25" s="3">
        <f>Overview!O87</f>
        <v>0</v>
      </c>
      <c r="O25" s="16"/>
    </row>
    <row r="26" spans="1:15">
      <c r="A26" s="26" t="s">
        <v>130</v>
      </c>
      <c r="B26" s="3">
        <f>CEILING(Overview!C88,16)</f>
        <v>2560</v>
      </c>
      <c r="C26" s="3"/>
      <c r="E26" s="26" t="s">
        <v>130</v>
      </c>
      <c r="F26" s="3">
        <f>CEILING(Overview!G88,16)</f>
        <v>2560</v>
      </c>
      <c r="G26" s="16"/>
      <c r="I26" s="26" t="s">
        <v>130</v>
      </c>
      <c r="J26" s="3">
        <f>CEILING(Overview!K88,16)</f>
        <v>2560</v>
      </c>
      <c r="K26" s="16"/>
      <c r="M26" s="26" t="s">
        <v>130</v>
      </c>
      <c r="N26" s="3">
        <f>CEILING(Overview!O88,16)</f>
        <v>2560</v>
      </c>
      <c r="O26" s="16"/>
    </row>
    <row r="27" spans="1:15">
      <c r="A27" s="26" t="s">
        <v>132</v>
      </c>
      <c r="B27" s="3">
        <f>CEILING(Overview!C89,16)</f>
        <v>1440</v>
      </c>
      <c r="C27" s="3"/>
      <c r="E27" s="26" t="s">
        <v>132</v>
      </c>
      <c r="F27" s="3">
        <f>CEILING(Overview!G89,16)</f>
        <v>1440</v>
      </c>
      <c r="G27" s="16"/>
      <c r="I27" s="26" t="s">
        <v>132</v>
      </c>
      <c r="J27" s="3">
        <f>CEILING(Overview!K89,16)</f>
        <v>1440</v>
      </c>
      <c r="K27" s="16"/>
      <c r="M27" s="26" t="s">
        <v>132</v>
      </c>
      <c r="N27" s="3">
        <f>CEILING(Overview!O89,16)</f>
        <v>1440</v>
      </c>
      <c r="O27" s="16"/>
    </row>
    <row r="28" spans="1:15">
      <c r="A28" s="26" t="s">
        <v>133</v>
      </c>
      <c r="B28" s="3">
        <f>Overview!C90</f>
        <v>2</v>
      </c>
      <c r="C28" s="3"/>
      <c r="E28" s="26" t="s">
        <v>133</v>
      </c>
      <c r="F28" s="3">
        <f>Overview!G90</f>
        <v>2</v>
      </c>
      <c r="G28" s="16"/>
      <c r="I28" s="26" t="s">
        <v>133</v>
      </c>
      <c r="J28" s="3">
        <f>Overview!K90</f>
        <v>2</v>
      </c>
      <c r="K28" s="16"/>
      <c r="M28" s="26" t="s">
        <v>133</v>
      </c>
      <c r="N28" s="3">
        <f>Overview!O90</f>
        <v>2</v>
      </c>
      <c r="O28" s="16"/>
    </row>
    <row r="29" spans="1:15">
      <c r="A29" s="26" t="s">
        <v>167</v>
      </c>
      <c r="B29" s="3">
        <f>Overview!C96</f>
        <v>8192</v>
      </c>
      <c r="C29" s="3"/>
      <c r="E29" s="26" t="s">
        <v>167</v>
      </c>
      <c r="F29" s="3">
        <f>Overview!G96</f>
        <v>8192</v>
      </c>
      <c r="G29" s="16"/>
      <c r="I29" s="26" t="s">
        <v>167</v>
      </c>
      <c r="J29" s="3">
        <f>Overview!K96</f>
        <v>8192</v>
      </c>
      <c r="K29" s="16"/>
      <c r="M29" s="26" t="s">
        <v>167</v>
      </c>
      <c r="N29" s="3">
        <f>Overview!O96</f>
        <v>8192</v>
      </c>
      <c r="O29" s="16"/>
    </row>
    <row r="30" spans="1:15">
      <c r="A30" s="26" t="s">
        <v>135</v>
      </c>
      <c r="B30" s="3">
        <f>Overview!C91</f>
        <v>1.5</v>
      </c>
      <c r="C30" s="3"/>
      <c r="E30" s="26" t="s">
        <v>135</v>
      </c>
      <c r="F30" s="3">
        <f>Overview!G91</f>
        <v>1.5</v>
      </c>
      <c r="G30" s="3"/>
      <c r="I30" s="26" t="s">
        <v>135</v>
      </c>
      <c r="J30" s="3">
        <f>Overview!K91</f>
        <v>1.5</v>
      </c>
      <c r="K30" s="3"/>
      <c r="M30" s="26" t="s">
        <v>135</v>
      </c>
      <c r="N30" s="3">
        <f>Overview!O91</f>
        <v>1.5</v>
      </c>
      <c r="O30" s="3"/>
    </row>
    <row r="31" spans="1:15">
      <c r="A31" s="26" t="s">
        <v>168</v>
      </c>
      <c r="B31" s="3">
        <f>Overview!C97</f>
        <v>0.3</v>
      </c>
      <c r="C31" s="3"/>
      <c r="E31" s="26" t="s">
        <v>168</v>
      </c>
      <c r="F31" s="3">
        <f>Overview!G97</f>
        <v>0.3</v>
      </c>
      <c r="G31" s="16"/>
      <c r="I31" s="26" t="s">
        <v>168</v>
      </c>
      <c r="J31" s="3">
        <f>Overview!K97</f>
        <v>0.3</v>
      </c>
      <c r="K31" s="16"/>
      <c r="M31" s="26" t="s">
        <v>168</v>
      </c>
      <c r="N31" s="3">
        <f>Overview!O97</f>
        <v>0.3</v>
      </c>
      <c r="O31" s="16"/>
    </row>
    <row r="32" spans="1:15">
      <c r="A32" s="39" t="s">
        <v>169</v>
      </c>
      <c r="B32" s="3">
        <f>Overview!C98</f>
        <v>7</v>
      </c>
      <c r="C32" s="3"/>
      <c r="E32" s="39" t="s">
        <v>169</v>
      </c>
      <c r="F32" s="3">
        <f>Overview!G98</f>
        <v>7</v>
      </c>
      <c r="G32" s="16"/>
      <c r="I32" s="39" t="s">
        <v>169</v>
      </c>
      <c r="J32" s="3">
        <f>Overview!K98</f>
        <v>7</v>
      </c>
      <c r="K32" s="16"/>
      <c r="M32" s="39" t="s">
        <v>169</v>
      </c>
      <c r="N32" s="3">
        <f>Overview!O98</f>
        <v>7</v>
      </c>
      <c r="O32" s="16"/>
    </row>
    <row r="33" spans="1:15">
      <c r="A33" s="39" t="s">
        <v>170</v>
      </c>
      <c r="B33" s="3">
        <f>Overview!C92</f>
        <v>3</v>
      </c>
      <c r="C33" s="3"/>
      <c r="E33" s="39" t="s">
        <v>170</v>
      </c>
      <c r="F33" s="3">
        <f>Overview!G92</f>
        <v>3</v>
      </c>
      <c r="G33" s="34"/>
      <c r="I33" s="39" t="s">
        <v>170</v>
      </c>
      <c r="J33" s="3">
        <f>Overview!K92</f>
        <v>3</v>
      </c>
      <c r="K33" s="34"/>
      <c r="M33" s="39" t="s">
        <v>170</v>
      </c>
      <c r="N33" s="3">
        <f>Overview!O92</f>
        <v>3</v>
      </c>
      <c r="O33" s="34"/>
    </row>
    <row r="34" spans="1:15">
      <c r="A34" s="39" t="s">
        <v>50</v>
      </c>
      <c r="B34" s="3">
        <f>CEILING(Overview!C93,16)</f>
        <v>2560</v>
      </c>
      <c r="C34" s="3"/>
      <c r="E34" s="39" t="s">
        <v>50</v>
      </c>
      <c r="F34" s="3">
        <f>CEILING(Overview!G93,16)</f>
        <v>2560</v>
      </c>
      <c r="G34" s="34"/>
      <c r="I34" s="39" t="s">
        <v>50</v>
      </c>
      <c r="J34" s="3">
        <f>CEILING(Overview!K93,16)</f>
        <v>2560</v>
      </c>
      <c r="K34" s="34"/>
      <c r="M34" s="39" t="s">
        <v>50</v>
      </c>
      <c r="N34" s="3">
        <f>CEILING(Overview!O93,16)</f>
        <v>2560</v>
      </c>
      <c r="O34" s="34"/>
    </row>
    <row r="35" spans="1:15">
      <c r="A35" s="39" t="s">
        <v>51</v>
      </c>
      <c r="B35" s="3">
        <f>CEILING(Overview!C94,16)</f>
        <v>1440</v>
      </c>
      <c r="C35" s="3"/>
      <c r="E35" s="39" t="s">
        <v>51</v>
      </c>
      <c r="F35" s="3">
        <f>CEILING(Overview!G94,16)</f>
        <v>1440</v>
      </c>
      <c r="G35" s="34"/>
      <c r="I35" s="39" t="s">
        <v>51</v>
      </c>
      <c r="J35" s="3">
        <f>CEILING(Overview!K94,16)</f>
        <v>1440</v>
      </c>
      <c r="K35" s="34"/>
      <c r="M35" s="39" t="s">
        <v>51</v>
      </c>
      <c r="N35" s="3">
        <f>CEILING(Overview!O94,16)</f>
        <v>1440</v>
      </c>
      <c r="O35" s="34"/>
    </row>
    <row r="36" spans="1:15">
      <c r="A36" s="26" t="s">
        <v>171</v>
      </c>
      <c r="B36" s="3">
        <f>IF(B25&gt;0,CEILING(YUVSIZE(B26,B27,B30)/1024,4),0)</f>
        <v>0</v>
      </c>
      <c r="C36" s="3"/>
      <c r="E36" s="26" t="s">
        <v>171</v>
      </c>
      <c r="F36" s="3">
        <f>IF(F25&gt;0,CEILING(YUVSIZE(F26,F27,F30)/1024,4),0)</f>
        <v>0</v>
      </c>
      <c r="G36" s="16"/>
      <c r="I36" s="26" t="s">
        <v>171</v>
      </c>
      <c r="J36" s="3">
        <f>IF(J25&gt;0,CEILING(YUVSIZE(J26,J27,J30)/1024,4),0)</f>
        <v>0</v>
      </c>
      <c r="K36" s="16"/>
      <c r="M36" s="26" t="s">
        <v>171</v>
      </c>
      <c r="N36" s="3">
        <f>IF(N25&gt;0,CEILING(YUVSIZE(N26,N27,N30)/1024,4),0)</f>
        <v>0</v>
      </c>
      <c r="O36" s="16"/>
    </row>
    <row r="37" spans="1:15">
      <c r="A37" s="28" t="s">
        <v>172</v>
      </c>
      <c r="B37" s="3">
        <f>IF(B76*B83*B25&gt;B25*B28*B36,B83*B25,B25*B28*B36)</f>
        <v>0</v>
      </c>
      <c r="C37" s="3"/>
      <c r="E37" s="28" t="s">
        <v>172</v>
      </c>
      <c r="F37" s="3">
        <f>IF(F76*F83*F25&gt;F25*F28*F36,F83*F25,F25*F28*F36)</f>
        <v>0</v>
      </c>
      <c r="G37" s="16"/>
      <c r="I37" s="28" t="s">
        <v>172</v>
      </c>
      <c r="J37" s="3">
        <f>IF(J76*J83*J25&gt;J25*J28*J36,J83*J25,J25*J28*J36)</f>
        <v>0</v>
      </c>
      <c r="K37" s="16"/>
      <c r="M37" s="28" t="s">
        <v>172</v>
      </c>
      <c r="N37" s="3">
        <f>IF(N76*N83*N25&gt;N25*N28*N36,N83*N25,N25*N28*N36)</f>
        <v>0</v>
      </c>
      <c r="O37" s="16"/>
    </row>
    <row r="38" spans="1:15">
      <c r="A38" s="28" t="s">
        <v>173</v>
      </c>
      <c r="B38" s="3">
        <f>CEILING((((ENC_BS_SIZE(B26,B27,B31)*2)/1024+(B29/8/25)*(B32-2)))*B25,4)+F38+J38+N38</f>
        <v>0</v>
      </c>
      <c r="C38" s="3"/>
      <c r="E38" s="28" t="s">
        <v>173</v>
      </c>
      <c r="F38" s="3">
        <f>IF(OR(Overview!$C$2="315/316",Overview!$C$2="316x2"),CEILING((((ENC_BS_SIZE(F26,F27,F31)*2)/1024+(F29/8/25)*(F32-2)))*F25,4),0)</f>
        <v>0</v>
      </c>
      <c r="G38" s="16"/>
      <c r="I38" s="28" t="s">
        <v>173</v>
      </c>
      <c r="J38" s="3">
        <f>IF(Overview!$C$2="316x2",CEILING((((ENC_BS_SIZE(J26,J27,J31)*2)/1024+(J29/8/25)*(J32-2)))*J25,4),0)</f>
        <v>0</v>
      </c>
      <c r="K38" s="16"/>
      <c r="M38" s="28" t="s">
        <v>173</v>
      </c>
      <c r="N38" s="3">
        <f>IF(Overview!$C$2="316x2",CEILING((((ENC_BS_SIZE(N26,N27,N31)*2)/1024+(N29/8/25)*(N32-2)))*N25,4),0)</f>
        <v>0</v>
      </c>
      <c r="O38" s="16"/>
    </row>
    <row r="39" spans="1:15">
      <c r="A39" s="28" t="s">
        <v>174</v>
      </c>
      <c r="B39" s="3">
        <f>IF(B25&gt;0,CEILING(CEILING(B26,64)*CEILING(B27,64)*1.5*C39/1024,4),0)</f>
        <v>0</v>
      </c>
      <c r="C39" s="3">
        <v>1.06</v>
      </c>
      <c r="E39" s="28" t="s">
        <v>174</v>
      </c>
      <c r="F39" s="3">
        <f>IF(F25&gt;0,CEILING(CEILING(F26,64)*CEILING(F27,64)*1.5*G39/1024,4),0)</f>
        <v>0</v>
      </c>
      <c r="G39" s="3">
        <f>C39</f>
        <v>1.06</v>
      </c>
      <c r="I39" s="28" t="s">
        <v>174</v>
      </c>
      <c r="J39" s="3">
        <f>IF(J25&gt;0,CEILING(CEILING(J26,64)*CEILING(J27,64)*1.5*K39/1024,4),0)</f>
        <v>0</v>
      </c>
      <c r="K39" s="3">
        <f>C39</f>
        <v>1.06</v>
      </c>
      <c r="M39" s="28" t="s">
        <v>174</v>
      </c>
      <c r="N39" s="3">
        <f>IF(N25&gt;0,CEILING(CEILING(N26,64)*CEILING(N27,64)*1.5*O39/1024,4),0)</f>
        <v>0</v>
      </c>
      <c r="O39" s="3">
        <f>C39</f>
        <v>1.06</v>
      </c>
    </row>
    <row r="40" spans="1:15">
      <c r="A40" s="18" t="s">
        <v>175</v>
      </c>
      <c r="B40" s="3">
        <f>B25*B33</f>
        <v>0</v>
      </c>
      <c r="C40" s="3"/>
      <c r="E40" s="18" t="s">
        <v>175</v>
      </c>
      <c r="F40" s="3">
        <f>F25*F33</f>
        <v>0</v>
      </c>
      <c r="G40" s="16"/>
      <c r="I40" s="18" t="s">
        <v>175</v>
      </c>
      <c r="J40" s="3">
        <f>J25*J33</f>
        <v>0</v>
      </c>
      <c r="K40" s="16"/>
      <c r="M40" s="18" t="s">
        <v>175</v>
      </c>
      <c r="N40" s="3">
        <f>N25*N33</f>
        <v>0</v>
      </c>
      <c r="O40" s="16"/>
    </row>
    <row r="41" spans="1:15">
      <c r="A41" s="18" t="s">
        <v>52</v>
      </c>
      <c r="B41" s="3">
        <f>Overview!C95</f>
        <v>1</v>
      </c>
      <c r="C41" s="3"/>
      <c r="E41" s="18" t="s">
        <v>52</v>
      </c>
      <c r="F41" s="3">
        <f>Overview!G95</f>
        <v>1</v>
      </c>
      <c r="G41" s="16"/>
      <c r="I41" s="18" t="s">
        <v>52</v>
      </c>
      <c r="J41" s="3">
        <f>Overview!K95</f>
        <v>1</v>
      </c>
      <c r="K41" s="16"/>
      <c r="M41" s="18" t="s">
        <v>52</v>
      </c>
      <c r="N41" s="3">
        <f>Overview!O95</f>
        <v>1</v>
      </c>
      <c r="O41" s="16"/>
    </row>
    <row r="42" spans="1:15">
      <c r="A42" s="18" t="s">
        <v>176</v>
      </c>
      <c r="B42" s="3">
        <f>IF(B25&gt;0,B41*CEILING((CEILING(B34,64)*CEILING(B35,64)*1.5)*C42/1024,4),0)</f>
        <v>0</v>
      </c>
      <c r="C42" s="3">
        <f>IF(Overview!C2="321",0.76,1.06)</f>
        <v>0.76</v>
      </c>
      <c r="E42" s="18" t="s">
        <v>176</v>
      </c>
      <c r="F42" s="3">
        <f>IF(F25&gt;0,F41*CEILING((CEILING(F34,64)*CEILING(F35,64)*1.5)*G42/1024,4),0)</f>
        <v>0</v>
      </c>
      <c r="G42" s="3">
        <f>C42</f>
        <v>0.76</v>
      </c>
      <c r="I42" s="18" t="s">
        <v>176</v>
      </c>
      <c r="J42" s="3">
        <f>IF(J25&gt;0,J41*CEILING((CEILING(J34,64)*CEILING(J35,64)*1.5)*K42/1024,4),0)</f>
        <v>0</v>
      </c>
      <c r="K42" s="3">
        <f>C42</f>
        <v>0.76</v>
      </c>
      <c r="M42" s="18" t="s">
        <v>176</v>
      </c>
      <c r="N42" s="3">
        <f>IF(N25&gt;0,N41*CEILING((CEILING(N34,64)*CEILING(N35,64)*1.5)*O42/1024,4),0)</f>
        <v>0</v>
      </c>
      <c r="O42" s="3">
        <f>C42</f>
        <v>0.76</v>
      </c>
    </row>
    <row r="43" spans="1:15">
      <c r="A43" s="18" t="s">
        <v>177</v>
      </c>
      <c r="B43" s="3">
        <f>B25</f>
        <v>0</v>
      </c>
      <c r="C43" s="3"/>
      <c r="E43" s="18" t="s">
        <v>177</v>
      </c>
      <c r="F43" s="3">
        <f>F25</f>
        <v>0</v>
      </c>
      <c r="G43" s="16"/>
      <c r="I43" s="18" t="s">
        <v>177</v>
      </c>
      <c r="J43" s="3">
        <f>J25</f>
        <v>0</v>
      </c>
      <c r="K43" s="16"/>
      <c r="M43" s="18" t="s">
        <v>177</v>
      </c>
      <c r="N43" s="3">
        <f>N25</f>
        <v>0</v>
      </c>
      <c r="O43" s="16"/>
    </row>
    <row r="44" spans="6:14">
      <c r="F44" s="2"/>
      <c r="J44" s="2"/>
      <c r="N44" s="2"/>
    </row>
    <row r="45" ht="16.5" spans="1:15">
      <c r="A45" s="13" t="s">
        <v>178</v>
      </c>
      <c r="B45" s="14" t="s">
        <v>122</v>
      </c>
      <c r="C45" s="14" t="s">
        <v>123</v>
      </c>
      <c r="E45" s="13" t="s">
        <v>178</v>
      </c>
      <c r="F45" s="14" t="s">
        <v>122</v>
      </c>
      <c r="G45" s="14" t="s">
        <v>123</v>
      </c>
      <c r="I45" s="13" t="s">
        <v>178</v>
      </c>
      <c r="J45" s="14" t="s">
        <v>122</v>
      </c>
      <c r="K45" s="14" t="s">
        <v>123</v>
      </c>
      <c r="M45" s="13" t="s">
        <v>178</v>
      </c>
      <c r="N45" s="14" t="s">
        <v>122</v>
      </c>
      <c r="O45" s="14" t="s">
        <v>123</v>
      </c>
    </row>
    <row r="46" spans="1:15">
      <c r="A46" s="26" t="s">
        <v>32</v>
      </c>
      <c r="B46" s="3">
        <f>Overview!C99</f>
        <v>0</v>
      </c>
      <c r="C46" s="3"/>
      <c r="E46" s="26" t="s">
        <v>32</v>
      </c>
      <c r="F46" s="3">
        <f>Overview!G99</f>
        <v>4</v>
      </c>
      <c r="G46" s="16"/>
      <c r="I46" s="26" t="s">
        <v>32</v>
      </c>
      <c r="J46" s="3">
        <f>Overview!K99</f>
        <v>4</v>
      </c>
      <c r="K46" s="16"/>
      <c r="M46" s="26" t="s">
        <v>32</v>
      </c>
      <c r="N46" s="3">
        <f>Overview!O99</f>
        <v>4</v>
      </c>
      <c r="O46" s="16"/>
    </row>
    <row r="47" spans="1:15">
      <c r="A47" s="26" t="s">
        <v>130</v>
      </c>
      <c r="B47" s="3">
        <f>CEILING(Overview!C100,16)</f>
        <v>960</v>
      </c>
      <c r="C47" s="3"/>
      <c r="E47" s="26" t="s">
        <v>130</v>
      </c>
      <c r="F47" s="3">
        <f>CEILING(Overview!G100,16)</f>
        <v>960</v>
      </c>
      <c r="G47" s="16"/>
      <c r="I47" s="26" t="s">
        <v>130</v>
      </c>
      <c r="J47" s="3">
        <f>CEILING(Overview!K100,16)</f>
        <v>960</v>
      </c>
      <c r="K47" s="16"/>
      <c r="M47" s="26" t="s">
        <v>130</v>
      </c>
      <c r="N47" s="3">
        <f>CEILING(Overview!O100,16)</f>
        <v>960</v>
      </c>
      <c r="O47" s="16"/>
    </row>
    <row r="48" spans="1:15">
      <c r="A48" s="26" t="s">
        <v>132</v>
      </c>
      <c r="B48" s="3">
        <f>CEILING(Overview!C101,16)</f>
        <v>576</v>
      </c>
      <c r="C48" s="3"/>
      <c r="E48" s="26" t="s">
        <v>132</v>
      </c>
      <c r="F48" s="3">
        <f>CEILING(Overview!G101,16)</f>
        <v>576</v>
      </c>
      <c r="G48" s="16"/>
      <c r="I48" s="26" t="s">
        <v>132</v>
      </c>
      <c r="J48" s="3">
        <f>CEILING(Overview!K101,16)</f>
        <v>576</v>
      </c>
      <c r="K48" s="16"/>
      <c r="M48" s="26" t="s">
        <v>132</v>
      </c>
      <c r="N48" s="3">
        <f>CEILING(Overview!O101,16)</f>
        <v>576</v>
      </c>
      <c r="O48" s="16"/>
    </row>
    <row r="49" spans="1:15">
      <c r="A49" s="26" t="s">
        <v>133</v>
      </c>
      <c r="B49" s="3">
        <f>Overview!C102</f>
        <v>2</v>
      </c>
      <c r="C49" s="3"/>
      <c r="E49" s="26" t="s">
        <v>133</v>
      </c>
      <c r="F49" s="3">
        <f>Overview!G102</f>
        <v>4</v>
      </c>
      <c r="G49" s="16"/>
      <c r="I49" s="26" t="s">
        <v>133</v>
      </c>
      <c r="J49" s="3">
        <f>Overview!K102</f>
        <v>4</v>
      </c>
      <c r="K49" s="16"/>
      <c r="M49" s="26" t="s">
        <v>133</v>
      </c>
      <c r="N49" s="3">
        <f>Overview!O102</f>
        <v>4</v>
      </c>
      <c r="O49" s="16"/>
    </row>
    <row r="50" spans="1:15">
      <c r="A50" s="26" t="s">
        <v>167</v>
      </c>
      <c r="B50" s="3">
        <f>Overview!C108</f>
        <v>4096</v>
      </c>
      <c r="C50" s="3"/>
      <c r="E50" s="26" t="s">
        <v>167</v>
      </c>
      <c r="F50" s="3">
        <f>Overview!G108</f>
        <v>4096</v>
      </c>
      <c r="G50" s="16"/>
      <c r="I50" s="26" t="s">
        <v>167</v>
      </c>
      <c r="J50" s="3">
        <f>Overview!K108</f>
        <v>4096</v>
      </c>
      <c r="K50" s="16"/>
      <c r="M50" s="26" t="s">
        <v>167</v>
      </c>
      <c r="N50" s="3">
        <f>Overview!O108</f>
        <v>4096</v>
      </c>
      <c r="O50" s="16"/>
    </row>
    <row r="51" spans="1:15">
      <c r="A51" s="26" t="s">
        <v>135</v>
      </c>
      <c r="B51" s="3">
        <f>Overview!C103</f>
        <v>1.125</v>
      </c>
      <c r="C51" s="3"/>
      <c r="E51" s="26" t="s">
        <v>135</v>
      </c>
      <c r="F51" s="3">
        <f>Overview!G103</f>
        <v>1.125</v>
      </c>
      <c r="G51" s="3"/>
      <c r="I51" s="26" t="s">
        <v>135</v>
      </c>
      <c r="J51" s="3">
        <f>Overview!K103</f>
        <v>1.125</v>
      </c>
      <c r="K51" s="3"/>
      <c r="M51" s="26" t="s">
        <v>135</v>
      </c>
      <c r="N51" s="3">
        <f>Overview!O103</f>
        <v>1.125</v>
      </c>
      <c r="O51" s="3"/>
    </row>
    <row r="52" spans="1:15">
      <c r="A52" s="26" t="s">
        <v>168</v>
      </c>
      <c r="B52" s="3">
        <f>Overview!C109</f>
        <v>0.3</v>
      </c>
      <c r="C52" s="3"/>
      <c r="E52" s="26" t="s">
        <v>168</v>
      </c>
      <c r="F52" s="3">
        <f>Overview!G109</f>
        <v>0.3</v>
      </c>
      <c r="G52" s="16"/>
      <c r="I52" s="26" t="s">
        <v>168</v>
      </c>
      <c r="J52" s="3">
        <f>Overview!K109</f>
        <v>0.3</v>
      </c>
      <c r="K52" s="16"/>
      <c r="M52" s="26" t="s">
        <v>168</v>
      </c>
      <c r="N52" s="3">
        <f>Overview!O109</f>
        <v>0.3</v>
      </c>
      <c r="O52" s="16"/>
    </row>
    <row r="53" spans="1:15">
      <c r="A53" s="39" t="s">
        <v>169</v>
      </c>
      <c r="B53" s="3">
        <f>Overview!C110</f>
        <v>7</v>
      </c>
      <c r="C53" s="3"/>
      <c r="E53" s="39" t="s">
        <v>169</v>
      </c>
      <c r="F53" s="3">
        <f>Overview!G110</f>
        <v>7</v>
      </c>
      <c r="G53" s="16"/>
      <c r="I53" s="39" t="s">
        <v>169</v>
      </c>
      <c r="J53" s="3">
        <f>Overview!K110</f>
        <v>7</v>
      </c>
      <c r="K53" s="16"/>
      <c r="M53" s="39" t="s">
        <v>169</v>
      </c>
      <c r="N53" s="3">
        <f>Overview!O110</f>
        <v>7</v>
      </c>
      <c r="O53" s="16"/>
    </row>
    <row r="54" spans="1:15">
      <c r="A54" s="39" t="s">
        <v>50</v>
      </c>
      <c r="B54" s="3">
        <f>CEILING(Overview!C105,16)</f>
        <v>960</v>
      </c>
      <c r="C54" s="3"/>
      <c r="E54" s="39" t="s">
        <v>50</v>
      </c>
      <c r="F54" s="3">
        <f>CEILING(Overview!G105,16)</f>
        <v>960</v>
      </c>
      <c r="G54" s="16"/>
      <c r="I54" s="39" t="s">
        <v>50</v>
      </c>
      <c r="J54" s="3">
        <f>CEILING(Overview!K105,16)</f>
        <v>960</v>
      </c>
      <c r="K54" s="16"/>
      <c r="M54" s="39" t="s">
        <v>50</v>
      </c>
      <c r="N54" s="3">
        <f>CEILING(Overview!O105,16)</f>
        <v>960</v>
      </c>
      <c r="O54" s="16"/>
    </row>
    <row r="55" spans="1:15">
      <c r="A55" s="39" t="s">
        <v>51</v>
      </c>
      <c r="B55" s="3">
        <f>CEILING(Overview!C106,16)</f>
        <v>576</v>
      </c>
      <c r="C55" s="3"/>
      <c r="E55" s="39" t="s">
        <v>51</v>
      </c>
      <c r="F55" s="3">
        <f>CEILING(Overview!G106,16)</f>
        <v>576</v>
      </c>
      <c r="G55" s="16"/>
      <c r="I55" s="39" t="s">
        <v>51</v>
      </c>
      <c r="J55" s="3">
        <f>CEILING(Overview!K106,16)</f>
        <v>576</v>
      </c>
      <c r="K55" s="16"/>
      <c r="M55" s="39" t="s">
        <v>51</v>
      </c>
      <c r="N55" s="3">
        <f>CEILING(Overview!O106,16)</f>
        <v>576</v>
      </c>
      <c r="O55" s="16"/>
    </row>
    <row r="56" spans="1:15">
      <c r="A56" s="39" t="s">
        <v>170</v>
      </c>
      <c r="B56" s="3">
        <f>Overview!C104</f>
        <v>3</v>
      </c>
      <c r="C56" s="3"/>
      <c r="E56" s="39" t="s">
        <v>170</v>
      </c>
      <c r="F56" s="3">
        <f>Overview!G104</f>
        <v>3</v>
      </c>
      <c r="G56" s="34"/>
      <c r="I56" s="39" t="s">
        <v>170</v>
      </c>
      <c r="J56" s="3">
        <f>Overview!K104</f>
        <v>3</v>
      </c>
      <c r="K56" s="34"/>
      <c r="M56" s="39" t="s">
        <v>170</v>
      </c>
      <c r="N56" s="3">
        <f>Overview!O104</f>
        <v>3</v>
      </c>
      <c r="O56" s="34"/>
    </row>
    <row r="57" spans="1:15">
      <c r="A57" s="26" t="s">
        <v>171</v>
      </c>
      <c r="B57" s="3">
        <f>IF(B46&gt;0,CEILING(YUVSIZE(B47,B48,B51)/1024,4),0)</f>
        <v>0</v>
      </c>
      <c r="C57" s="3"/>
      <c r="E57" s="26" t="s">
        <v>171</v>
      </c>
      <c r="F57" s="3">
        <f>IF(F46&gt;0,CEILING(YUVSIZE(F47,F48,F51)/1024,4),0)</f>
        <v>608</v>
      </c>
      <c r="G57" s="16"/>
      <c r="I57" s="26" t="s">
        <v>171</v>
      </c>
      <c r="J57" s="3">
        <f>IF(J46&gt;0,CEILING(YUVSIZE(J47,J48,J51)/1024,4),0)</f>
        <v>608</v>
      </c>
      <c r="K57" s="16"/>
      <c r="M57" s="26" t="s">
        <v>171</v>
      </c>
      <c r="N57" s="3">
        <f>IF(N46&gt;0,CEILING(YUVSIZE(N47,N48,N51)/1024,4),0)</f>
        <v>608</v>
      </c>
      <c r="O57" s="16"/>
    </row>
    <row r="58" spans="1:15">
      <c r="A58" s="28" t="s">
        <v>172</v>
      </c>
      <c r="B58" s="3">
        <f>IF(B76*B83*B46&gt;B46*B49*B57,B83*B46,B46*B49*B57)</f>
        <v>0</v>
      </c>
      <c r="C58" s="3"/>
      <c r="E58" s="28" t="s">
        <v>172</v>
      </c>
      <c r="F58" s="3">
        <f>IF(F76*F83*F46&gt;F46*F49*F57,F83*F46,F46*F49*F57)</f>
        <v>9728</v>
      </c>
      <c r="G58" s="16"/>
      <c r="I58" s="28" t="s">
        <v>172</v>
      </c>
      <c r="J58" s="3">
        <f>IF(J76*J83*J46&gt;J46*J49*J57,J83*J46,J46*J49*J57)</f>
        <v>9728</v>
      </c>
      <c r="K58" s="16"/>
      <c r="M58" s="28" t="s">
        <v>172</v>
      </c>
      <c r="N58" s="3">
        <f>IF(N76*N83*N46&gt;N46*N49*N57,N83*N46,N46*N49*N57)</f>
        <v>9728</v>
      </c>
      <c r="O58" s="16"/>
    </row>
    <row r="59" spans="1:15">
      <c r="A59" s="28" t="s">
        <v>173</v>
      </c>
      <c r="B59" s="3">
        <f>CEILING((((ENC_BS_SIZE(B47,B48,B52)*2)/1024+(B50/8/25)*(B53-2)))*B46,4)+F59+J59+N59</f>
        <v>0</v>
      </c>
      <c r="C59" s="3"/>
      <c r="E59" s="28" t="s">
        <v>173</v>
      </c>
      <c r="F59" s="3">
        <f>IF(OR(Overview!$C$2="315/316",Overview!$C$2="316x2"),CEILING((((ENC_BS_SIZE(F47,F48,F52)*2)/1024+(F50/8/25)*(F53-2)))*F46,4),0)</f>
        <v>0</v>
      </c>
      <c r="G59" s="16"/>
      <c r="I59" s="28" t="s">
        <v>173</v>
      </c>
      <c r="J59" s="3">
        <f>IF(Overview!$C$2="316x2",CEILING((((ENC_BS_SIZE(J47,J48,J52)*2)/1024+(J50/8/25)*(J53-2)))*J46,4),0)</f>
        <v>0</v>
      </c>
      <c r="K59" s="16"/>
      <c r="M59" s="28" t="s">
        <v>173</v>
      </c>
      <c r="N59" s="3">
        <f>IF(Overview!$C$2="316x2",CEILING((((ENC_BS_SIZE(N47,N48,N52)*2)/1024+(N50/8/25)*(N53-2)))*N46,4),0)</f>
        <v>0</v>
      </c>
      <c r="O59" s="16"/>
    </row>
    <row r="60" spans="1:15">
      <c r="A60" s="28" t="s">
        <v>174</v>
      </c>
      <c r="B60" s="3">
        <f>IF(B46&gt;0,CEILING(CEILING(B47,64)*CEILING(B48,64)*1.5*C60/1024,4),0)</f>
        <v>0</v>
      </c>
      <c r="C60" s="3">
        <v>1.06</v>
      </c>
      <c r="E60" s="28" t="s">
        <v>174</v>
      </c>
      <c r="F60" s="3">
        <f>IF(F46&gt;0,CEILING(CEILING(F47,64)*CEILING(F48,64)*1.5*G60/1024,4),0)</f>
        <v>860</v>
      </c>
      <c r="G60" s="3">
        <f>C60</f>
        <v>1.06</v>
      </c>
      <c r="I60" s="28" t="s">
        <v>174</v>
      </c>
      <c r="J60" s="3">
        <f>IF(J46&gt;0,CEILING(CEILING(J47,64)*CEILING(J48,64)*1.5*K60/1024,4),0)</f>
        <v>860</v>
      </c>
      <c r="K60" s="3">
        <f>C60</f>
        <v>1.06</v>
      </c>
      <c r="M60" s="28" t="s">
        <v>174</v>
      </c>
      <c r="N60" s="3">
        <f>IF(N46&gt;0,CEILING(CEILING(N47,64)*CEILING(N48,64)*1.5*O60/1024,4),0)</f>
        <v>860</v>
      </c>
      <c r="O60" s="3">
        <f>C60</f>
        <v>1.06</v>
      </c>
    </row>
    <row r="61" spans="1:15">
      <c r="A61" s="18" t="s">
        <v>175</v>
      </c>
      <c r="B61" s="3">
        <f>B46*B56</f>
        <v>0</v>
      </c>
      <c r="C61" s="3"/>
      <c r="E61" s="18" t="s">
        <v>175</v>
      </c>
      <c r="F61" s="3">
        <f>F46*F56</f>
        <v>12</v>
      </c>
      <c r="G61" s="16"/>
      <c r="I61" s="18" t="s">
        <v>175</v>
      </c>
      <c r="J61" s="3">
        <f>J46*J56</f>
        <v>12</v>
      </c>
      <c r="K61" s="16"/>
      <c r="M61" s="18" t="s">
        <v>175</v>
      </c>
      <c r="N61" s="3">
        <f>N46*N56</f>
        <v>12</v>
      </c>
      <c r="O61" s="16"/>
    </row>
    <row r="62" spans="1:15">
      <c r="A62" s="18" t="s">
        <v>52</v>
      </c>
      <c r="B62" s="3">
        <f>Overview!C107</f>
        <v>1</v>
      </c>
      <c r="C62" s="3"/>
      <c r="E62" s="18" t="s">
        <v>52</v>
      </c>
      <c r="F62" s="3">
        <f>Overview!G107</f>
        <v>1</v>
      </c>
      <c r="G62" s="16"/>
      <c r="I62" s="18" t="s">
        <v>52</v>
      </c>
      <c r="J62" s="3">
        <f>Overview!K107</f>
        <v>1</v>
      </c>
      <c r="K62" s="16"/>
      <c r="M62" s="18" t="s">
        <v>52</v>
      </c>
      <c r="N62" s="3">
        <f>Overview!O107</f>
        <v>1</v>
      </c>
      <c r="O62" s="16"/>
    </row>
    <row r="63" spans="1:15">
      <c r="A63" s="18" t="s">
        <v>176</v>
      </c>
      <c r="B63" s="3">
        <f>IF(B46&gt;0,B62*CEILING((CEILING(B54,64)*CEILING(B55,64)*1.5)*C63/1024,4),0)</f>
        <v>0</v>
      </c>
      <c r="C63" s="3">
        <f>IF(Overview!C2="321",0.76,1.06)</f>
        <v>0.76</v>
      </c>
      <c r="E63" s="18" t="s">
        <v>176</v>
      </c>
      <c r="F63" s="3">
        <f>IF(F46&gt;0,F62*CEILING((CEILING(F54,64)*CEILING(F55,64)*1.5)*G63/1024,4),0)</f>
        <v>860</v>
      </c>
      <c r="G63" s="3">
        <f>IF(Overview!G2="321",0.76,1.06)</f>
        <v>1.06</v>
      </c>
      <c r="I63" s="18" t="s">
        <v>176</v>
      </c>
      <c r="J63" s="3">
        <f>IF(J46&gt;0,J62*CEILING((CEILING(J54,64)*CEILING(J55,64)*1.5)*K63/1024,4),0)</f>
        <v>860</v>
      </c>
      <c r="K63" s="3">
        <f>IF(Overview!K2="321",0.76,1.06)</f>
        <v>1.06</v>
      </c>
      <c r="M63" s="18" t="s">
        <v>176</v>
      </c>
      <c r="N63" s="3">
        <f>IF(N46&gt;0,N62*CEILING((CEILING(N54,64)*CEILING(N55,64)*1.5)*O63/1024,4),0)</f>
        <v>860</v>
      </c>
      <c r="O63" s="3">
        <f>IF(Overview!O2="321",0.76,1.06)</f>
        <v>1.06</v>
      </c>
    </row>
    <row r="64" spans="1:15">
      <c r="A64" s="18" t="s">
        <v>177</v>
      </c>
      <c r="B64" s="3">
        <f>B46</f>
        <v>0</v>
      </c>
      <c r="C64" s="3"/>
      <c r="E64" s="18" t="s">
        <v>177</v>
      </c>
      <c r="F64" s="3">
        <f>F46</f>
        <v>4</v>
      </c>
      <c r="G64" s="16"/>
      <c r="I64" s="18" t="s">
        <v>177</v>
      </c>
      <c r="J64" s="3">
        <f>J46</f>
        <v>4</v>
      </c>
      <c r="K64" s="16"/>
      <c r="M64" s="18" t="s">
        <v>177</v>
      </c>
      <c r="N64" s="3">
        <f>N46</f>
        <v>4</v>
      </c>
      <c r="O64" s="16"/>
    </row>
    <row r="65" spans="1:15">
      <c r="A65" s="43"/>
      <c r="B65" s="44"/>
      <c r="C65" s="44"/>
      <c r="E65" s="43"/>
      <c r="F65" s="44"/>
      <c r="G65" s="45"/>
      <c r="I65" s="43"/>
      <c r="J65" s="44"/>
      <c r="K65" s="45"/>
      <c r="M65" s="43"/>
      <c r="N65" s="44"/>
      <c r="O65" s="45"/>
    </row>
    <row r="66" ht="16.5" spans="1:15">
      <c r="A66" s="31" t="s">
        <v>55</v>
      </c>
      <c r="B66" s="32" t="s">
        <v>122</v>
      </c>
      <c r="C66" s="32" t="s">
        <v>123</v>
      </c>
      <c r="E66" s="31" t="s">
        <v>55</v>
      </c>
      <c r="F66" s="32" t="s">
        <v>122</v>
      </c>
      <c r="G66" s="32" t="s">
        <v>123</v>
      </c>
      <c r="I66" s="31" t="s">
        <v>55</v>
      </c>
      <c r="J66" s="32" t="s">
        <v>122</v>
      </c>
      <c r="K66" s="32" t="s">
        <v>123</v>
      </c>
      <c r="M66" s="31" t="s">
        <v>55</v>
      </c>
      <c r="N66" s="32" t="s">
        <v>122</v>
      </c>
      <c r="O66" s="32" t="s">
        <v>123</v>
      </c>
    </row>
    <row r="67" spans="1:15">
      <c r="A67" s="15" t="s">
        <v>32</v>
      </c>
      <c r="B67" s="3">
        <f>Overview!C111</f>
        <v>4</v>
      </c>
      <c r="C67" s="3"/>
      <c r="E67" s="15" t="s">
        <v>32</v>
      </c>
      <c r="F67" s="3">
        <f>Overview!G111</f>
        <v>0</v>
      </c>
      <c r="G67" s="16"/>
      <c r="I67" s="15" t="s">
        <v>32</v>
      </c>
      <c r="J67" s="3">
        <f>Overview!K111</f>
        <v>0</v>
      </c>
      <c r="K67" s="16"/>
      <c r="M67" s="15" t="s">
        <v>32</v>
      </c>
      <c r="N67" s="3">
        <f>Overview!O111</f>
        <v>0</v>
      </c>
      <c r="O67" s="16"/>
    </row>
    <row r="68" spans="1:15">
      <c r="A68" s="15" t="s">
        <v>130</v>
      </c>
      <c r="B68" s="3">
        <f>Overview!C112</f>
        <v>960</v>
      </c>
      <c r="C68" s="3"/>
      <c r="E68" s="15" t="s">
        <v>130</v>
      </c>
      <c r="F68" s="3">
        <f>Overview!G112</f>
        <v>720</v>
      </c>
      <c r="G68" s="16"/>
      <c r="I68" s="15" t="s">
        <v>130</v>
      </c>
      <c r="J68" s="3">
        <f>Overview!K112</f>
        <v>720</v>
      </c>
      <c r="K68" s="16"/>
      <c r="M68" s="15" t="s">
        <v>130</v>
      </c>
      <c r="N68" s="3">
        <f>Overview!O112</f>
        <v>720</v>
      </c>
      <c r="O68" s="16"/>
    </row>
    <row r="69" spans="1:15">
      <c r="A69" s="15" t="s">
        <v>132</v>
      </c>
      <c r="B69" s="3">
        <f>Overview!C113</f>
        <v>576</v>
      </c>
      <c r="C69" s="3"/>
      <c r="E69" s="15" t="s">
        <v>132</v>
      </c>
      <c r="F69" s="3">
        <f>Overview!G113</f>
        <v>576</v>
      </c>
      <c r="G69" s="16"/>
      <c r="I69" s="15" t="s">
        <v>132</v>
      </c>
      <c r="J69" s="3">
        <f>Overview!K113</f>
        <v>576</v>
      </c>
      <c r="K69" s="16"/>
      <c r="M69" s="15" t="s">
        <v>132</v>
      </c>
      <c r="N69" s="3">
        <f>Overview!O113</f>
        <v>576</v>
      </c>
      <c r="O69" s="16"/>
    </row>
    <row r="70" spans="1:15">
      <c r="A70" s="15" t="s">
        <v>133</v>
      </c>
      <c r="B70" s="3">
        <f>Overview!C114</f>
        <v>2</v>
      </c>
      <c r="C70" s="3"/>
      <c r="E70" s="15" t="s">
        <v>133</v>
      </c>
      <c r="F70" s="3">
        <f>Overview!G114</f>
        <v>2</v>
      </c>
      <c r="G70" s="16"/>
      <c r="I70" s="15" t="s">
        <v>133</v>
      </c>
      <c r="J70" s="3">
        <f>Overview!K114</f>
        <v>2</v>
      </c>
      <c r="K70" s="16"/>
      <c r="M70" s="15" t="s">
        <v>133</v>
      </c>
      <c r="N70" s="3">
        <f>Overview!O114</f>
        <v>2</v>
      </c>
      <c r="O70" s="16"/>
    </row>
    <row r="71" spans="1:15">
      <c r="A71" s="15" t="s">
        <v>135</v>
      </c>
      <c r="B71" s="3">
        <f>Overview!C115</f>
        <v>1.125</v>
      </c>
      <c r="C71" s="3"/>
      <c r="E71" s="15" t="s">
        <v>135</v>
      </c>
      <c r="F71" s="3">
        <f>Overview!G115</f>
        <v>1.125</v>
      </c>
      <c r="G71" s="16"/>
      <c r="I71" s="15" t="s">
        <v>135</v>
      </c>
      <c r="J71" s="3">
        <f>Overview!K115</f>
        <v>1.125</v>
      </c>
      <c r="K71" s="16"/>
      <c r="M71" s="15" t="s">
        <v>135</v>
      </c>
      <c r="N71" s="3">
        <f>Overview!O115</f>
        <v>1.125</v>
      </c>
      <c r="O71" s="16"/>
    </row>
    <row r="72" spans="1:15">
      <c r="A72" s="26" t="s">
        <v>179</v>
      </c>
      <c r="B72" s="3">
        <f>IF(B67&gt;0,CEILING(YUVSIZE(B68,B69,B71)/1024,4),0)</f>
        <v>1140</v>
      </c>
      <c r="C72" s="3"/>
      <c r="E72" s="26" t="s">
        <v>179</v>
      </c>
      <c r="F72" s="3">
        <f>IF(F67&gt;0,CEILING(YUVSIZE(F68,F69,F71)/1024,4),0)</f>
        <v>0</v>
      </c>
      <c r="G72" s="16"/>
      <c r="I72" s="26" t="s">
        <v>179</v>
      </c>
      <c r="J72" s="3">
        <f>IF(J67&gt;0,CEILING(YUVSIZE(J68,J69,J71)/1024,4),0)</f>
        <v>0</v>
      </c>
      <c r="K72" s="16"/>
      <c r="M72" s="26" t="s">
        <v>179</v>
      </c>
      <c r="N72" s="3">
        <f>IF(N67&gt;0,CEILING(YUVSIZE(N68,N69,N71)/1024,4),0)</f>
        <v>0</v>
      </c>
      <c r="O72" s="16"/>
    </row>
    <row r="73" spans="1:15">
      <c r="A73" s="18" t="s">
        <v>180</v>
      </c>
      <c r="B73" s="3">
        <f>B67*B70*B72</f>
        <v>9120</v>
      </c>
      <c r="C73" s="3"/>
      <c r="E73" s="18" t="s">
        <v>180</v>
      </c>
      <c r="F73" s="3">
        <f>IF(F94*F102*F67&gt;F67*F70*F72,F102*F67,F67*F70*F72)</f>
        <v>0</v>
      </c>
      <c r="G73" s="16"/>
      <c r="I73" s="18" t="s">
        <v>180</v>
      </c>
      <c r="J73" s="3">
        <f>IF(J94*J102*J67&gt;J67*J70*J72,J102*J67,J67*J70*J72)</f>
        <v>0</v>
      </c>
      <c r="K73" s="16"/>
      <c r="M73" s="18" t="s">
        <v>180</v>
      </c>
      <c r="N73" s="3">
        <f>IF(N94*N102*N67&gt;N67*N70*N72,N102*N67,N67*N70*N72)</f>
        <v>0</v>
      </c>
      <c r="O73" s="16"/>
    </row>
    <row r="75" ht="16.5" spans="1:15">
      <c r="A75" s="31" t="s">
        <v>181</v>
      </c>
      <c r="B75" s="32" t="s">
        <v>122</v>
      </c>
      <c r="C75" s="32" t="s">
        <v>123</v>
      </c>
      <c r="E75" s="31" t="s">
        <v>181</v>
      </c>
      <c r="F75" s="32" t="s">
        <v>122</v>
      </c>
      <c r="G75" s="32" t="s">
        <v>123</v>
      </c>
      <c r="I75" s="31" t="s">
        <v>181</v>
      </c>
      <c r="J75" s="32" t="s">
        <v>122</v>
      </c>
      <c r="K75" s="32" t="s">
        <v>123</v>
      </c>
      <c r="M75" s="31" t="s">
        <v>181</v>
      </c>
      <c r="N75" s="32" t="s">
        <v>122</v>
      </c>
      <c r="O75" s="32" t="s">
        <v>123</v>
      </c>
    </row>
    <row r="76" spans="1:15">
      <c r="A76" s="15" t="s">
        <v>128</v>
      </c>
      <c r="B76" s="3">
        <f>Overview!C73</f>
        <v>0</v>
      </c>
      <c r="C76" s="3"/>
      <c r="E76" s="15" t="s">
        <v>128</v>
      </c>
      <c r="F76" s="3">
        <f>Overview!G73</f>
        <v>0</v>
      </c>
      <c r="G76" s="16"/>
      <c r="I76" s="15" t="s">
        <v>128</v>
      </c>
      <c r="J76" s="3">
        <f>Overview!K73</f>
        <v>0</v>
      </c>
      <c r="K76" s="16"/>
      <c r="M76" s="15" t="s">
        <v>128</v>
      </c>
      <c r="N76" s="3">
        <f>Overview!O73</f>
        <v>0</v>
      </c>
      <c r="O76" s="16"/>
    </row>
    <row r="77" spans="1:15">
      <c r="A77" s="15" t="s">
        <v>130</v>
      </c>
      <c r="B77" s="3">
        <v>960</v>
      </c>
      <c r="C77" s="3"/>
      <c r="E77" s="15" t="s">
        <v>130</v>
      </c>
      <c r="F77" s="3">
        <v>960</v>
      </c>
      <c r="G77" s="16"/>
      <c r="I77" s="15" t="s">
        <v>130</v>
      </c>
      <c r="J77" s="3">
        <v>960</v>
      </c>
      <c r="K77" s="16"/>
      <c r="M77" s="15" t="s">
        <v>130</v>
      </c>
      <c r="N77" s="3">
        <v>960</v>
      </c>
      <c r="O77" s="16"/>
    </row>
    <row r="78" spans="1:15">
      <c r="A78" s="15" t="s">
        <v>132</v>
      </c>
      <c r="B78" s="3">
        <v>576</v>
      </c>
      <c r="C78" s="3"/>
      <c r="E78" s="15" t="s">
        <v>132</v>
      </c>
      <c r="F78" s="3">
        <v>576</v>
      </c>
      <c r="G78" s="16"/>
      <c r="I78" s="15" t="s">
        <v>132</v>
      </c>
      <c r="J78" s="3">
        <v>576</v>
      </c>
      <c r="K78" s="16"/>
      <c r="M78" s="15" t="s">
        <v>132</v>
      </c>
      <c r="N78" s="3">
        <v>576</v>
      </c>
      <c r="O78" s="16"/>
    </row>
    <row r="79" spans="1:15">
      <c r="A79" s="15" t="s">
        <v>134</v>
      </c>
      <c r="B79" s="3">
        <f>Overview!C74</f>
        <v>2</v>
      </c>
      <c r="C79" s="3"/>
      <c r="E79" s="15" t="s">
        <v>134</v>
      </c>
      <c r="F79" s="3">
        <f>Overview!G74</f>
        <v>2</v>
      </c>
      <c r="G79" s="16"/>
      <c r="I79" s="15" t="s">
        <v>134</v>
      </c>
      <c r="J79" s="3">
        <f>Overview!K74</f>
        <v>2</v>
      </c>
      <c r="K79" s="16"/>
      <c r="M79" s="15" t="s">
        <v>134</v>
      </c>
      <c r="N79" s="3">
        <f>Overview!O74</f>
        <v>2</v>
      </c>
      <c r="O79" s="16"/>
    </row>
    <row r="80" spans="1:15">
      <c r="A80" s="15" t="s">
        <v>136</v>
      </c>
      <c r="B80" s="3">
        <v>2</v>
      </c>
      <c r="C80" s="3"/>
      <c r="E80" s="15" t="s">
        <v>136</v>
      </c>
      <c r="F80" s="3">
        <v>2</v>
      </c>
      <c r="G80" s="16"/>
      <c r="I80" s="15" t="s">
        <v>136</v>
      </c>
      <c r="J80" s="3">
        <v>2</v>
      </c>
      <c r="K80" s="16"/>
      <c r="M80" s="15" t="s">
        <v>136</v>
      </c>
      <c r="N80" s="3">
        <v>2</v>
      </c>
      <c r="O80" s="16"/>
    </row>
    <row r="81" spans="1:15">
      <c r="A81" s="15" t="s">
        <v>138</v>
      </c>
      <c r="B81" s="3">
        <f>Overview!C74</f>
        <v>2</v>
      </c>
      <c r="C81" s="3"/>
      <c r="E81" s="15" t="s">
        <v>138</v>
      </c>
      <c r="F81" s="3">
        <f>Overview!G74</f>
        <v>2</v>
      </c>
      <c r="G81" s="16"/>
      <c r="I81" s="15" t="s">
        <v>138</v>
      </c>
      <c r="J81" s="3">
        <f>Overview!K74</f>
        <v>2</v>
      </c>
      <c r="K81" s="16"/>
      <c r="M81" s="15" t="s">
        <v>138</v>
      </c>
      <c r="N81" s="3">
        <f>Overview!O74</f>
        <v>2</v>
      </c>
      <c r="O81" s="16"/>
    </row>
    <row r="82" spans="1:15">
      <c r="A82" s="15" t="s">
        <v>139</v>
      </c>
      <c r="B82" s="3">
        <f>IF(Overview!C2="321",1.125,1.5)</f>
        <v>1.125</v>
      </c>
      <c r="C82" s="3"/>
      <c r="E82" s="15" t="s">
        <v>139</v>
      </c>
      <c r="F82" s="3">
        <f>B82</f>
        <v>1.125</v>
      </c>
      <c r="G82" s="16"/>
      <c r="I82" s="15" t="s">
        <v>139</v>
      </c>
      <c r="J82" s="3">
        <f>B82</f>
        <v>1.125</v>
      </c>
      <c r="K82" s="16"/>
      <c r="M82" s="15" t="s">
        <v>139</v>
      </c>
      <c r="N82" s="3">
        <f>B82</f>
        <v>1.125</v>
      </c>
      <c r="O82" s="16"/>
    </row>
    <row r="83" spans="1:15">
      <c r="A83" s="28" t="s">
        <v>172</v>
      </c>
      <c r="B83" s="3">
        <f>(YUVSIZE(B77,B78,B80)*B79+YUVSIZE(B77,B78,B82)*B81)/1024</f>
        <v>3375</v>
      </c>
      <c r="C83" s="3" t="s">
        <v>182</v>
      </c>
      <c r="E83" s="28" t="s">
        <v>172</v>
      </c>
      <c r="F83" s="3">
        <f>(YUVSIZE(F77,F78,F80)*F79+YUVSIZE(F77,F78,F82)*F81)/1024</f>
        <v>3375</v>
      </c>
      <c r="G83" s="16" t="s">
        <v>182</v>
      </c>
      <c r="I83" s="28" t="s">
        <v>172</v>
      </c>
      <c r="J83" s="3">
        <f>(YUVSIZE(J77,J78,J80)*J79+YUVSIZE(J77,J78,J82)*J81)/1024</f>
        <v>3375</v>
      </c>
      <c r="K83" s="16" t="s">
        <v>182</v>
      </c>
      <c r="M83" s="28" t="s">
        <v>172</v>
      </c>
      <c r="N83" s="3">
        <f>(YUVSIZE(N77,N78,N80)*N79+YUVSIZE(N77,N78,N82)*N81)/1024</f>
        <v>3375</v>
      </c>
      <c r="O83" s="16" t="s">
        <v>182</v>
      </c>
    </row>
  </sheetData>
  <mergeCells count="4">
    <mergeCell ref="A1:C1"/>
    <mergeCell ref="E1:G1"/>
    <mergeCell ref="I1:K1"/>
    <mergeCell ref="M1:O1"/>
  </mergeCells>
  <conditionalFormatting sqref="E1:O83">
    <cfRule type="expression" dxfId="0" priority="3" stopIfTrue="1">
      <formula>NOT(OR(Overview!$C$2="315/316",Overview!$C$2="316x2"))</formula>
    </cfRule>
  </conditionalFormatting>
  <conditionalFormatting sqref="I1:O83">
    <cfRule type="expression" dxfId="0" priority="13" stopIfTrue="1">
      <formula>NOT(Overview!$C$2="316x2")</formula>
    </cfRule>
  </conditionalFormatting>
  <dataValidations count="1">
    <dataValidation type="whole" operator="greaterThanOrEqual" allowBlank="1" showInputMessage="1" showErrorMessage="1" sqref="B11 B32 B53">
      <formula1>2</formula1>
    </dataValidation>
  </dataValidations>
  <pageMargins left="0.699305555555556" right="0.699305555555556" top="0.75" bottom="0.75" header="0.3" footer="0.3"/>
  <pageSetup paperSize="148" orientation="portrait"/>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5"/>
  <dimension ref="A1:O41"/>
  <sheetViews>
    <sheetView workbookViewId="0">
      <selection activeCell="B18" sqref="B18"/>
    </sheetView>
  </sheetViews>
  <sheetFormatPr defaultColWidth="9" defaultRowHeight="14.25"/>
  <cols>
    <col min="1" max="1" width="29.125" customWidth="1"/>
    <col min="2" max="2" width="8.25" customWidth="1"/>
    <col min="3" max="3" width="8.875" customWidth="1"/>
    <col min="4" max="4" width="1.375" customWidth="1"/>
    <col min="5" max="5" width="29.125" customWidth="1"/>
    <col min="6" max="6" width="8.25" customWidth="1"/>
    <col min="7" max="7" width="7.625" customWidth="1"/>
    <col min="8" max="8" width="1.125" customWidth="1"/>
    <col min="9" max="9" width="29.125" customWidth="1"/>
    <col min="10" max="10" width="8.25" customWidth="1"/>
    <col min="11" max="11" width="7.625" customWidth="1"/>
    <col min="12" max="12" width="1.375" customWidth="1"/>
    <col min="13" max="13" width="29" customWidth="1"/>
    <col min="14" max="14" width="8.25" customWidth="1"/>
    <col min="15" max="15" width="7.625" customWidth="1"/>
  </cols>
  <sheetData>
    <row r="1" ht="16.5" spans="1:15">
      <c r="A1" s="9" t="s">
        <v>9</v>
      </c>
      <c r="B1" s="10"/>
      <c r="C1" s="11"/>
      <c r="E1" s="9" t="s">
        <v>10</v>
      </c>
      <c r="F1" s="10"/>
      <c r="G1" s="11"/>
      <c r="I1" s="9" t="s">
        <v>11</v>
      </c>
      <c r="J1" s="10"/>
      <c r="K1" s="11"/>
      <c r="M1" s="9" t="s">
        <v>12</v>
      </c>
      <c r="N1" s="10"/>
      <c r="O1" s="11"/>
    </row>
    <row r="2" ht="9" customHeight="1" spans="2:3">
      <c r="B2" s="2"/>
      <c r="C2" s="12"/>
    </row>
    <row r="3" ht="16.5" spans="1:15">
      <c r="A3" s="31" t="s">
        <v>31</v>
      </c>
      <c r="B3" s="32" t="s">
        <v>122</v>
      </c>
      <c r="C3" s="32" t="s">
        <v>123</v>
      </c>
      <c r="E3" s="31" t="s">
        <v>31</v>
      </c>
      <c r="F3" s="32" t="s">
        <v>122</v>
      </c>
      <c r="G3" s="32" t="s">
        <v>123</v>
      </c>
      <c r="I3" s="31" t="s">
        <v>31</v>
      </c>
      <c r="J3" s="32" t="s">
        <v>122</v>
      </c>
      <c r="K3" s="32" t="s">
        <v>123</v>
      </c>
      <c r="M3" s="31" t="s">
        <v>31</v>
      </c>
      <c r="N3" s="32" t="s">
        <v>122</v>
      </c>
      <c r="O3" s="32" t="s">
        <v>123</v>
      </c>
    </row>
    <row r="4" spans="1:15">
      <c r="A4" s="15" t="s">
        <v>32</v>
      </c>
      <c r="B4" s="3">
        <f>Overview!C53</f>
        <v>8</v>
      </c>
      <c r="C4" s="3"/>
      <c r="E4" s="15" t="s">
        <v>32</v>
      </c>
      <c r="F4" s="3">
        <f>Overview!G53</f>
        <v>4</v>
      </c>
      <c r="G4" s="3"/>
      <c r="I4" s="15" t="s">
        <v>32</v>
      </c>
      <c r="J4" s="3">
        <f>Overview!K53</f>
        <v>4</v>
      </c>
      <c r="K4" s="3"/>
      <c r="M4" s="15" t="s">
        <v>32</v>
      </c>
      <c r="N4" s="3">
        <f>Overview!O53</f>
        <v>4</v>
      </c>
      <c r="O4" s="3"/>
    </row>
    <row r="5" spans="1:15">
      <c r="A5" s="15" t="s">
        <v>130</v>
      </c>
      <c r="B5" s="3">
        <f>CEILING(Overview!C54,64)</f>
        <v>1920</v>
      </c>
      <c r="C5" s="3"/>
      <c r="E5" s="15" t="s">
        <v>130</v>
      </c>
      <c r="F5" s="3">
        <f>CEILING(Overview!G54,16)</f>
        <v>1920</v>
      </c>
      <c r="G5" s="3"/>
      <c r="I5" s="15" t="s">
        <v>130</v>
      </c>
      <c r="J5" s="3">
        <f>CEILING(Overview!K54,16)</f>
        <v>1920</v>
      </c>
      <c r="K5" s="3"/>
      <c r="M5" s="15" t="s">
        <v>130</v>
      </c>
      <c r="N5" s="3">
        <f>CEILING(Overview!O54,16)</f>
        <v>1920</v>
      </c>
      <c r="O5" s="3"/>
    </row>
    <row r="6" spans="1:15">
      <c r="A6" s="15" t="s">
        <v>132</v>
      </c>
      <c r="B6" s="3">
        <f>CEILING(Overview!C55,64)</f>
        <v>1088</v>
      </c>
      <c r="C6" s="3"/>
      <c r="E6" s="15" t="s">
        <v>132</v>
      </c>
      <c r="F6" s="3">
        <f>CEILING(Overview!G55,16)</f>
        <v>1088</v>
      </c>
      <c r="G6" s="3"/>
      <c r="I6" s="15" t="s">
        <v>132</v>
      </c>
      <c r="J6" s="3">
        <f>CEILING(Overview!K55,16)</f>
        <v>1088</v>
      </c>
      <c r="K6" s="3"/>
      <c r="M6" s="15" t="s">
        <v>132</v>
      </c>
      <c r="N6" s="3">
        <f>CEILING(Overview!O55,16)</f>
        <v>1088</v>
      </c>
      <c r="O6" s="3"/>
    </row>
    <row r="7" spans="1:15">
      <c r="A7" s="15" t="s">
        <v>167</v>
      </c>
      <c r="B7" s="3">
        <f>Overview!C57</f>
        <v>8192</v>
      </c>
      <c r="C7" s="3"/>
      <c r="E7" s="15" t="s">
        <v>167</v>
      </c>
      <c r="F7" s="3">
        <f>Overview!G57</f>
        <v>8192</v>
      </c>
      <c r="G7" s="3"/>
      <c r="I7" s="15" t="s">
        <v>167</v>
      </c>
      <c r="J7" s="3">
        <f>Overview!K57</f>
        <v>8192</v>
      </c>
      <c r="K7" s="3"/>
      <c r="M7" s="15" t="s">
        <v>167</v>
      </c>
      <c r="N7" s="3">
        <f>Overview!O57</f>
        <v>8192</v>
      </c>
      <c r="O7" s="3"/>
    </row>
    <row r="8" spans="1:15">
      <c r="A8" s="26" t="s">
        <v>135</v>
      </c>
      <c r="B8" s="3">
        <f>IF(Overview!C2="321",1.5,2)</f>
        <v>1.5</v>
      </c>
      <c r="C8" s="3"/>
      <c r="E8" s="26" t="s">
        <v>135</v>
      </c>
      <c r="F8" s="3">
        <f>B8</f>
        <v>1.5</v>
      </c>
      <c r="G8" s="3"/>
      <c r="I8" s="26" t="s">
        <v>135</v>
      </c>
      <c r="J8" s="3">
        <f>B8</f>
        <v>1.5</v>
      </c>
      <c r="K8" s="3"/>
      <c r="M8" s="26" t="s">
        <v>135</v>
      </c>
      <c r="N8" s="3">
        <f>B8</f>
        <v>1.5</v>
      </c>
      <c r="O8" s="3"/>
    </row>
    <row r="9" spans="1:15">
      <c r="A9" s="15" t="s">
        <v>183</v>
      </c>
      <c r="B9" s="3">
        <f>Overview!C58</f>
        <v>0.3</v>
      </c>
      <c r="C9" s="3"/>
      <c r="E9" s="15" t="s">
        <v>183</v>
      </c>
      <c r="F9" s="3">
        <f>Overview!G58</f>
        <v>0.3</v>
      </c>
      <c r="G9" s="3"/>
      <c r="I9" s="15" t="s">
        <v>183</v>
      </c>
      <c r="J9" s="3">
        <f>Overview!K58</f>
        <v>0.3</v>
      </c>
      <c r="K9" s="3"/>
      <c r="M9" s="15" t="s">
        <v>183</v>
      </c>
      <c r="N9" s="3">
        <f>Overview!O58</f>
        <v>0.3</v>
      </c>
      <c r="O9" s="3"/>
    </row>
    <row r="10" spans="1:15">
      <c r="A10" s="33" t="s">
        <v>133</v>
      </c>
      <c r="B10" s="3">
        <f>Overview!C56</f>
        <v>2</v>
      </c>
      <c r="C10" s="34"/>
      <c r="E10" s="33" t="s">
        <v>133</v>
      </c>
      <c r="F10" s="3">
        <f>Overview!G56</f>
        <v>4</v>
      </c>
      <c r="G10" s="34"/>
      <c r="I10" s="33" t="s">
        <v>133</v>
      </c>
      <c r="J10" s="3">
        <f>Overview!K56</f>
        <v>4</v>
      </c>
      <c r="K10" s="34"/>
      <c r="M10" s="33" t="s">
        <v>133</v>
      </c>
      <c r="N10" s="3">
        <f>Overview!O56</f>
        <v>4</v>
      </c>
      <c r="O10" s="34"/>
    </row>
    <row r="11" spans="1:15">
      <c r="A11" s="22" t="s">
        <v>184</v>
      </c>
      <c r="B11" s="3">
        <f>Overview!C60</f>
        <v>7</v>
      </c>
      <c r="C11" s="3"/>
      <c r="E11" s="22" t="s">
        <v>184</v>
      </c>
      <c r="F11" s="3">
        <f>Overview!G60</f>
        <v>7</v>
      </c>
      <c r="G11" s="3"/>
      <c r="I11" s="22" t="s">
        <v>184</v>
      </c>
      <c r="J11" s="3">
        <f>Overview!K60</f>
        <v>7</v>
      </c>
      <c r="K11" s="3"/>
      <c r="M11" s="22" t="s">
        <v>184</v>
      </c>
      <c r="N11" s="3">
        <f>Overview!O60</f>
        <v>7</v>
      </c>
      <c r="O11" s="3"/>
    </row>
    <row r="12" spans="1:15">
      <c r="A12" s="15" t="s">
        <v>185</v>
      </c>
      <c r="B12" s="3">
        <f>IF(Overview!C59=0,0,1/(Overview!C59*Overview!C59))</f>
        <v>0.25</v>
      </c>
      <c r="C12" s="3" t="s">
        <v>186</v>
      </c>
      <c r="E12" s="15" t="s">
        <v>185</v>
      </c>
      <c r="F12" s="3">
        <f>IF(Overview!G59=0,0,1/(Overview!G59*Overview!G59))</f>
        <v>0.25</v>
      </c>
      <c r="G12" s="3" t="s">
        <v>186</v>
      </c>
      <c r="I12" s="15" t="s">
        <v>185</v>
      </c>
      <c r="J12" s="3">
        <f>IF(Overview!K59=0,0,1/(Overview!K59*Overview!K59))</f>
        <v>0.25</v>
      </c>
      <c r="K12" s="3" t="s">
        <v>186</v>
      </c>
      <c r="M12" s="15" t="s">
        <v>185</v>
      </c>
      <c r="N12" s="3">
        <f>IF(Overview!O59=0,0,1/(Overview!O59*Overview!O59))</f>
        <v>0.25</v>
      </c>
      <c r="O12" s="3" t="s">
        <v>186</v>
      </c>
    </row>
    <row r="13" spans="1:15">
      <c r="A13" s="15" t="s">
        <v>187</v>
      </c>
      <c r="B13" s="3">
        <f>IF(OR(Overview!C2="321",Overview!C2="311/312/313"),C13,CEILING(C13+DEC_BS_SIZE(B5,B6,B9)/1024,4))</f>
        <v>128</v>
      </c>
      <c r="C13" s="3">
        <f>CEILING(CEILING(B5,64)*CEILING(B6,64)/16/1024,4)</f>
        <v>128</v>
      </c>
      <c r="E13" s="15" t="s">
        <v>187</v>
      </c>
      <c r="F13" s="3">
        <f>CEILING(C13+DEC_BS_SIZE(F5,F6,F9)/1024,4)</f>
        <v>1048</v>
      </c>
      <c r="G13" s="3"/>
      <c r="I13" s="15" t="s">
        <v>187</v>
      </c>
      <c r="J13" s="3">
        <f>CEILING(C13+DEC_BS_SIZE(J5,J6,J9)/1024,4)</f>
        <v>1048</v>
      </c>
      <c r="K13" s="3"/>
      <c r="M13" s="15" t="s">
        <v>187</v>
      </c>
      <c r="N13" s="3">
        <f>CEILING(C13+DEC_BS_SIZE(N5,N6,N9)/1024,4)</f>
        <v>1048</v>
      </c>
      <c r="O13" s="3"/>
    </row>
    <row r="14" spans="1:15">
      <c r="A14" s="15" t="s">
        <v>188</v>
      </c>
      <c r="B14" s="3">
        <f>IF(B4&gt;0,CEILING(YUVSIZE(B5,B6,B8)/1024,4),0)</f>
        <v>3060</v>
      </c>
      <c r="C14" s="3"/>
      <c r="E14" s="15" t="s">
        <v>188</v>
      </c>
      <c r="F14" s="3">
        <f>IF(F4&gt;0,CEILING(YUVSIZE(F5,F6,F8)/1024,4),0)</f>
        <v>3060</v>
      </c>
      <c r="G14" s="3"/>
      <c r="I14" s="15" t="s">
        <v>188</v>
      </c>
      <c r="J14" s="3">
        <f>IF(J4&gt;0,CEILING(YUVSIZE(J5,J6,J8)/1024,4),0)</f>
        <v>3060</v>
      </c>
      <c r="K14" s="3"/>
      <c r="M14" s="15" t="s">
        <v>188</v>
      </c>
      <c r="N14" s="3">
        <f>IF(N4&gt;0,CEILING(YUVSIZE(N5,N6,N8)/1024,4),0)</f>
        <v>3060</v>
      </c>
      <c r="O14" s="3"/>
    </row>
    <row r="15" spans="1:15">
      <c r="A15" s="15" t="s">
        <v>189</v>
      </c>
      <c r="B15" s="3">
        <f>IF(B4&gt;0,DEC_BS_SIZE(B5,B6,B9)/1024,0)</f>
        <v>918</v>
      </c>
      <c r="C15" s="3"/>
      <c r="E15" s="15" t="s">
        <v>189</v>
      </c>
      <c r="F15" s="3">
        <f>IF(F4&gt;0,DEC_BS_SIZE(F5,F6,F9)/1024,0)</f>
        <v>918</v>
      </c>
      <c r="G15" s="3"/>
      <c r="I15" s="15" t="s">
        <v>189</v>
      </c>
      <c r="J15" s="3">
        <f>IF(J4&gt;0,DEC_BS_SIZE(J5,J6,J9)/1024,0)</f>
        <v>918</v>
      </c>
      <c r="K15" s="3"/>
      <c r="M15" s="15" t="s">
        <v>189</v>
      </c>
      <c r="N15" s="3">
        <f>IF(N4&gt;0,DEC_BS_SIZE(N5,N6,N9)/1024,0)</f>
        <v>918</v>
      </c>
      <c r="O15" s="3"/>
    </row>
    <row r="16" spans="1:15">
      <c r="A16" s="15" t="s">
        <v>190</v>
      </c>
      <c r="B16" s="3">
        <f>CEILING(Overview!C61,64)</f>
        <v>1920</v>
      </c>
      <c r="C16" s="3"/>
      <c r="E16" s="15" t="s">
        <v>190</v>
      </c>
      <c r="F16" s="3">
        <f>CEILING(Overview!G61,64)</f>
        <v>1920</v>
      </c>
      <c r="G16" s="3"/>
      <c r="I16" s="15" t="s">
        <v>190</v>
      </c>
      <c r="J16" s="3">
        <f>CEILING(Overview!K61,64)</f>
        <v>1920</v>
      </c>
      <c r="K16" s="3"/>
      <c r="M16" s="15" t="s">
        <v>190</v>
      </c>
      <c r="N16" s="3">
        <f>CEILING(Overview!O61,64)</f>
        <v>1920</v>
      </c>
      <c r="O16" s="3"/>
    </row>
    <row r="17" spans="1:15">
      <c r="A17" s="15" t="s">
        <v>191</v>
      </c>
      <c r="B17" s="3">
        <f>CEILING(Overview!C62,64)</f>
        <v>1088</v>
      </c>
      <c r="C17" s="3"/>
      <c r="E17" s="15" t="s">
        <v>191</v>
      </c>
      <c r="F17" s="3">
        <f>CEILING(Overview!G62,64)</f>
        <v>1088</v>
      </c>
      <c r="G17" s="3"/>
      <c r="I17" s="15" t="s">
        <v>191</v>
      </c>
      <c r="J17" s="3">
        <f>CEILING(Overview!K62,64)</f>
        <v>1088</v>
      </c>
      <c r="K17" s="3"/>
      <c r="M17" s="15" t="s">
        <v>191</v>
      </c>
      <c r="N17" s="3">
        <f>CEILING(Overview!O62,64)</f>
        <v>1088</v>
      </c>
      <c r="O17" s="3"/>
    </row>
    <row r="18" spans="1:15">
      <c r="A18" s="15" t="s">
        <v>192</v>
      </c>
      <c r="B18" s="3">
        <f>IF(B4&gt;0,DEC_BS_SIZE(B16,B17,B9)/1024,0)</f>
        <v>918</v>
      </c>
      <c r="C18" s="3"/>
      <c r="E18" s="15" t="s">
        <v>192</v>
      </c>
      <c r="F18" s="3">
        <f>IF(F4&gt;0,DEC_BS_SIZE(F16,F17,F9)/1024,0)</f>
        <v>1242</v>
      </c>
      <c r="G18" s="3"/>
      <c r="I18" s="15" t="s">
        <v>192</v>
      </c>
      <c r="J18" s="3">
        <f>IF(J4&gt;0,DEC_BS_SIZE(J16,J17,J9)/1024,0)</f>
        <v>1242</v>
      </c>
      <c r="K18" s="3"/>
      <c r="M18" s="15" t="s">
        <v>192</v>
      </c>
      <c r="N18" s="3">
        <f>IF(N4&gt;0,DEC_BS_SIZE(N16,N17,N9)/1024,0)</f>
        <v>918</v>
      </c>
      <c r="O18" s="3"/>
    </row>
    <row r="19" spans="1:15">
      <c r="A19" s="18" t="s">
        <v>193</v>
      </c>
      <c r="B19" s="3">
        <f>CEILING(((B15*2)+(B7/8/25)*(B11-2))*B4,4)+F19+J19+N19</f>
        <v>16328</v>
      </c>
      <c r="C19" s="35"/>
      <c r="E19" s="18" t="s">
        <v>193</v>
      </c>
      <c r="F19" s="3">
        <f>IF(OR(Overview!$C$2="315/316",Overview!$C$2="316x2"),CEILING(((F15*2)+(F7/8/25)*(F11-2))*F4,4),0)</f>
        <v>0</v>
      </c>
      <c r="G19" s="35" t="s">
        <v>9</v>
      </c>
      <c r="I19" s="18" t="s">
        <v>193</v>
      </c>
      <c r="J19" s="3">
        <f>IF(Overview!$C$2="316x2",CEILING(((J15*2)+(J7/8/25)*(J11-2))*J4,4),0)</f>
        <v>0</v>
      </c>
      <c r="K19" s="35" t="s">
        <v>9</v>
      </c>
      <c r="M19" s="18" t="s">
        <v>193</v>
      </c>
      <c r="N19" s="3">
        <f>IF(Overview!$C$2="316x2",CEILING(((N15*2)+(N7/8/25)*(N11-2))*N4,4),0)</f>
        <v>0</v>
      </c>
      <c r="O19" s="35" t="s">
        <v>9</v>
      </c>
    </row>
    <row r="20" spans="1:15">
      <c r="A20" s="18" t="s">
        <v>194</v>
      </c>
      <c r="B20" s="3">
        <f>CEILING(B14+B13,4)*B4*B10</f>
        <v>51008</v>
      </c>
      <c r="C20" s="3"/>
      <c r="E20" s="18" t="s">
        <v>194</v>
      </c>
      <c r="F20" s="3">
        <f>CEILING(F14+F13,4)*F4*F10</f>
        <v>65728</v>
      </c>
      <c r="G20" s="3"/>
      <c r="I20" s="18" t="s">
        <v>194</v>
      </c>
      <c r="J20" s="3">
        <f>CEILING(J14+J13,4)*J4*J10</f>
        <v>65728</v>
      </c>
      <c r="K20" s="3"/>
      <c r="M20" s="18" t="s">
        <v>194</v>
      </c>
      <c r="N20" s="3">
        <f>CEILING(N14+N13,4)*N4*N10</f>
        <v>65728</v>
      </c>
      <c r="O20" s="3"/>
    </row>
    <row r="21" spans="1:15">
      <c r="A21" s="18" t="s">
        <v>195</v>
      </c>
      <c r="B21" s="3">
        <f>CEILING(B14,4)*B4*B10*B12</f>
        <v>12240</v>
      </c>
      <c r="C21" s="3"/>
      <c r="E21" s="18" t="s">
        <v>195</v>
      </c>
      <c r="F21" s="3">
        <f>CEILING(F14,4)*F4*F10*F12</f>
        <v>12240</v>
      </c>
      <c r="G21" s="3"/>
      <c r="I21" s="18" t="s">
        <v>195</v>
      </c>
      <c r="J21" s="3">
        <f>CEILING(J14,4)*J4*J10*J12</f>
        <v>12240</v>
      </c>
      <c r="K21" s="3"/>
      <c r="M21" s="18" t="s">
        <v>195</v>
      </c>
      <c r="N21" s="3">
        <f>CEILING(N14,4)*N4*N10*N12</f>
        <v>12240</v>
      </c>
      <c r="O21" s="3"/>
    </row>
    <row r="23" ht="16.5" spans="1:15">
      <c r="A23" s="31" t="s">
        <v>45</v>
      </c>
      <c r="B23" s="32" t="s">
        <v>122</v>
      </c>
      <c r="C23" s="32" t="s">
        <v>123</v>
      </c>
      <c r="E23" s="31" t="s">
        <v>45</v>
      </c>
      <c r="F23" s="32" t="s">
        <v>122</v>
      </c>
      <c r="G23" s="32" t="s">
        <v>123</v>
      </c>
      <c r="I23" s="31" t="s">
        <v>45</v>
      </c>
      <c r="J23" s="32" t="s">
        <v>122</v>
      </c>
      <c r="K23" s="32" t="s">
        <v>123</v>
      </c>
      <c r="M23" s="31" t="s">
        <v>45</v>
      </c>
      <c r="N23" s="32" t="s">
        <v>122</v>
      </c>
      <c r="O23" s="32" t="s">
        <v>123</v>
      </c>
    </row>
    <row r="24" spans="1:15">
      <c r="A24" s="15" t="s">
        <v>32</v>
      </c>
      <c r="B24" s="3">
        <f>Overview!C63</f>
        <v>1</v>
      </c>
      <c r="C24" s="3"/>
      <c r="E24" s="15" t="s">
        <v>32</v>
      </c>
      <c r="F24" s="3">
        <f>Overview!G63</f>
        <v>0</v>
      </c>
      <c r="G24" s="3"/>
      <c r="I24" s="15" t="s">
        <v>32</v>
      </c>
      <c r="J24" s="3">
        <f>Overview!K63</f>
        <v>0</v>
      </c>
      <c r="K24" s="3"/>
      <c r="M24" s="15" t="s">
        <v>32</v>
      </c>
      <c r="N24" s="3">
        <f>Overview!O63</f>
        <v>0</v>
      </c>
      <c r="O24" s="3"/>
    </row>
    <row r="25" spans="1:15">
      <c r="A25" s="15" t="s">
        <v>130</v>
      </c>
      <c r="B25" s="3">
        <f>Overview!C64</f>
        <v>3840</v>
      </c>
      <c r="C25" s="3"/>
      <c r="E25" s="15" t="s">
        <v>130</v>
      </c>
      <c r="F25" s="3">
        <f>Overview!G64</f>
        <v>2560</v>
      </c>
      <c r="G25" s="3"/>
      <c r="I25" s="15" t="s">
        <v>130</v>
      </c>
      <c r="J25" s="3">
        <f>Overview!K64</f>
        <v>2560</v>
      </c>
      <c r="K25" s="3"/>
      <c r="M25" s="15" t="s">
        <v>130</v>
      </c>
      <c r="N25" s="3">
        <f>Overview!O64</f>
        <v>2560</v>
      </c>
      <c r="O25" s="3"/>
    </row>
    <row r="26" spans="1:15">
      <c r="A26" s="15" t="s">
        <v>132</v>
      </c>
      <c r="B26" s="3">
        <f>CEILING(Overview!C65,64)</f>
        <v>2176</v>
      </c>
      <c r="C26" s="3"/>
      <c r="E26" s="15" t="s">
        <v>132</v>
      </c>
      <c r="F26" s="3">
        <f>Overview!G65</f>
        <v>1440</v>
      </c>
      <c r="G26" s="3"/>
      <c r="I26" s="15" t="s">
        <v>132</v>
      </c>
      <c r="J26" s="3">
        <f>Overview!K65</f>
        <v>1440</v>
      </c>
      <c r="K26" s="3"/>
      <c r="M26" s="15" t="s">
        <v>132</v>
      </c>
      <c r="N26" s="3">
        <f>Overview!O65</f>
        <v>1440</v>
      </c>
      <c r="O26" s="3"/>
    </row>
    <row r="27" spans="1:15">
      <c r="A27" s="15" t="s">
        <v>167</v>
      </c>
      <c r="B27" s="3">
        <f>Overview!C67</f>
        <v>8192</v>
      </c>
      <c r="C27" s="3"/>
      <c r="E27" s="15" t="s">
        <v>167</v>
      </c>
      <c r="F27" s="3">
        <f>Overview!G67</f>
        <v>8192</v>
      </c>
      <c r="G27" s="3"/>
      <c r="I27" s="15" t="s">
        <v>167</v>
      </c>
      <c r="J27" s="3">
        <f>Overview!K67</f>
        <v>8192</v>
      </c>
      <c r="K27" s="3"/>
      <c r="M27" s="15" t="s">
        <v>167</v>
      </c>
      <c r="N27" s="3">
        <f>Overview!O67</f>
        <v>8192</v>
      </c>
      <c r="O27" s="3"/>
    </row>
    <row r="28" spans="1:15">
      <c r="A28" s="26" t="s">
        <v>135</v>
      </c>
      <c r="B28" s="3">
        <f>IF(Overview!C2="321",1.5,2)</f>
        <v>1.5</v>
      </c>
      <c r="C28" s="3"/>
      <c r="E28" s="26" t="s">
        <v>135</v>
      </c>
      <c r="F28" s="3">
        <f>B28</f>
        <v>1.5</v>
      </c>
      <c r="G28" s="3"/>
      <c r="I28" s="26" t="s">
        <v>135</v>
      </c>
      <c r="J28" s="3">
        <f>B28</f>
        <v>1.5</v>
      </c>
      <c r="K28" s="3"/>
      <c r="M28" s="26" t="s">
        <v>135</v>
      </c>
      <c r="N28" s="3">
        <f>B28</f>
        <v>1.5</v>
      </c>
      <c r="O28" s="3"/>
    </row>
    <row r="29" spans="1:15">
      <c r="A29" s="15" t="s">
        <v>183</v>
      </c>
      <c r="B29" s="3">
        <f>Overview!C68</f>
        <v>0.3</v>
      </c>
      <c r="C29" s="3"/>
      <c r="E29" s="15" t="s">
        <v>183</v>
      </c>
      <c r="F29" s="3">
        <f>Overview!G68</f>
        <v>0.3</v>
      </c>
      <c r="G29" s="3"/>
      <c r="I29" s="15" t="s">
        <v>183</v>
      </c>
      <c r="J29" s="3">
        <f>Overview!K68</f>
        <v>0.3</v>
      </c>
      <c r="K29" s="3"/>
      <c r="M29" s="15" t="s">
        <v>183</v>
      </c>
      <c r="N29" s="3">
        <f>Overview!O68</f>
        <v>0.3</v>
      </c>
      <c r="O29" s="3"/>
    </row>
    <row r="30" spans="1:15">
      <c r="A30" s="33" t="s">
        <v>133</v>
      </c>
      <c r="B30" s="3">
        <f>Overview!C66</f>
        <v>2</v>
      </c>
      <c r="C30" s="34"/>
      <c r="E30" s="33" t="s">
        <v>133</v>
      </c>
      <c r="F30" s="3">
        <f>Overview!G66</f>
        <v>4</v>
      </c>
      <c r="G30" s="34"/>
      <c r="I30" s="33" t="s">
        <v>133</v>
      </c>
      <c r="J30" s="3">
        <f>Overview!K66</f>
        <v>4</v>
      </c>
      <c r="K30" s="34"/>
      <c r="M30" s="33" t="s">
        <v>133</v>
      </c>
      <c r="N30" s="3">
        <f>Overview!O66</f>
        <v>4</v>
      </c>
      <c r="O30" s="34"/>
    </row>
    <row r="31" spans="1:15">
      <c r="A31" s="22" t="s">
        <v>184</v>
      </c>
      <c r="B31" s="3">
        <f>Overview!C70</f>
        <v>5</v>
      </c>
      <c r="C31" s="3"/>
      <c r="E31" s="22" t="s">
        <v>184</v>
      </c>
      <c r="F31" s="3">
        <f>Overview!G70</f>
        <v>5</v>
      </c>
      <c r="G31" s="3"/>
      <c r="I31" s="22" t="s">
        <v>184</v>
      </c>
      <c r="J31" s="3">
        <f>Overview!K70</f>
        <v>5</v>
      </c>
      <c r="K31" s="3"/>
      <c r="M31" s="22" t="s">
        <v>184</v>
      </c>
      <c r="N31" s="3">
        <f>Overview!O70</f>
        <v>5</v>
      </c>
      <c r="O31" s="3"/>
    </row>
    <row r="32" spans="1:15">
      <c r="A32" s="15" t="s">
        <v>185</v>
      </c>
      <c r="B32" s="3">
        <f>IF(Overview!C69=0,0,1/(Overview!C69*Overview!C69))</f>
        <v>0.25</v>
      </c>
      <c r="C32" s="3" t="s">
        <v>186</v>
      </c>
      <c r="E32" s="15" t="s">
        <v>185</v>
      </c>
      <c r="F32" s="3">
        <f>IF(Overview!G69=0,0,1/(Overview!G69*Overview!G69))</f>
        <v>0.25</v>
      </c>
      <c r="G32" s="3" t="s">
        <v>186</v>
      </c>
      <c r="I32" s="15" t="s">
        <v>185</v>
      </c>
      <c r="J32" s="3">
        <f>IF(Overview!K69=0,0,1/(Overview!K69*Overview!K69))</f>
        <v>0.25</v>
      </c>
      <c r="K32" s="3" t="s">
        <v>186</v>
      </c>
      <c r="M32" s="15" t="s">
        <v>185</v>
      </c>
      <c r="N32" s="3">
        <f>IF(Overview!O69=0,0,1/(Overview!O69*Overview!O69))</f>
        <v>0.25</v>
      </c>
      <c r="O32" s="3" t="s">
        <v>186</v>
      </c>
    </row>
    <row r="33" spans="1:15">
      <c r="A33" s="15" t="s">
        <v>187</v>
      </c>
      <c r="B33" s="3">
        <f>IF(OR(Overview!C2="321",Overview!C2="311/312/313"),C33,CEILING(C33+DEC_BS_SIZE(B25,B26,B29)/1024,4))</f>
        <v>512</v>
      </c>
      <c r="C33" s="3">
        <f>CEILING(CEILING(B25,64)*CEILING(B26,64)/16/1024,4)</f>
        <v>512</v>
      </c>
      <c r="E33" s="15" t="s">
        <v>187</v>
      </c>
      <c r="F33" s="3">
        <f>CEILING(C33+DEC_BS_SIZE(F25,F26,F29)/1024,4)</f>
        <v>2132</v>
      </c>
      <c r="G33" s="3"/>
      <c r="I33" s="15" t="s">
        <v>187</v>
      </c>
      <c r="J33" s="3">
        <f>CEILING(C33+DEC_BS_SIZE(J25,J26,J29)/1024,4)</f>
        <v>2132</v>
      </c>
      <c r="K33" s="3"/>
      <c r="M33" s="15" t="s">
        <v>187</v>
      </c>
      <c r="N33" s="3">
        <f>CEILING(C33+DEC_BS_SIZE(N25,N26,N29)/1024,4)</f>
        <v>2132</v>
      </c>
      <c r="O33" s="3"/>
    </row>
    <row r="34" spans="1:15">
      <c r="A34" s="15" t="s">
        <v>188</v>
      </c>
      <c r="B34" s="3">
        <f>IF(B24&gt;0,CEILING(YUVSIZE(B25,B26,B28)/1024,4),0)</f>
        <v>12240</v>
      </c>
      <c r="C34" s="3"/>
      <c r="E34" s="15" t="s">
        <v>188</v>
      </c>
      <c r="F34" s="3">
        <f>IF(F24&gt;0,CEILING(YUVSIZE(F25,F26,F28)/1024,4),0)</f>
        <v>0</v>
      </c>
      <c r="G34" s="3"/>
      <c r="I34" s="15" t="s">
        <v>188</v>
      </c>
      <c r="J34" s="3">
        <f>IF(J24&gt;0,CEILING(YUVSIZE(J25,J26,J28)/1024,4),0)</f>
        <v>0</v>
      </c>
      <c r="K34" s="3"/>
      <c r="M34" s="15" t="s">
        <v>188</v>
      </c>
      <c r="N34" s="3">
        <f>IF(N24&gt;0,CEILING(YUVSIZE(N25,N26,N28)/1024,4),0)</f>
        <v>0</v>
      </c>
      <c r="O34" s="3"/>
    </row>
    <row r="35" spans="1:15">
      <c r="A35" s="15" t="s">
        <v>189</v>
      </c>
      <c r="B35" s="3">
        <f>IF(B24&gt;0,DEC_BS_SIZE(B25,B26,B29)/1024,0)</f>
        <v>3672</v>
      </c>
      <c r="C35" s="3"/>
      <c r="E35" s="15" t="s">
        <v>189</v>
      </c>
      <c r="F35" s="3">
        <f>IF(F24&gt;0,DEC_BS_SIZE(F25,F26,F29)/1024,0)</f>
        <v>0</v>
      </c>
      <c r="G35" s="3"/>
      <c r="I35" s="15" t="s">
        <v>189</v>
      </c>
      <c r="J35" s="3">
        <f>IF(J24&gt;0,DEC_BS_SIZE(J25,J26,J29)/1024,0)</f>
        <v>0</v>
      </c>
      <c r="K35" s="3"/>
      <c r="M35" s="15" t="s">
        <v>189</v>
      </c>
      <c r="N35" s="3">
        <f>IF(N24&gt;0,DEC_BS_SIZE(N25,N26,N29)/1024,0)</f>
        <v>0</v>
      </c>
      <c r="O35" s="3"/>
    </row>
    <row r="36" spans="1:15">
      <c r="A36" s="15" t="s">
        <v>190</v>
      </c>
      <c r="B36" s="3">
        <f>CEILING(Overview!C71,64)</f>
        <v>1920</v>
      </c>
      <c r="C36" s="3"/>
      <c r="E36" s="15" t="s">
        <v>190</v>
      </c>
      <c r="F36" s="3">
        <f>CEILING(Overview!G71,64)</f>
        <v>2560</v>
      </c>
      <c r="G36" s="3"/>
      <c r="I36" s="15" t="s">
        <v>190</v>
      </c>
      <c r="J36" s="3">
        <f>CEILING(Overview!K71,64)</f>
        <v>1920</v>
      </c>
      <c r="K36" s="3"/>
      <c r="M36" s="15" t="s">
        <v>190</v>
      </c>
      <c r="N36" s="3">
        <f>CEILING(Overview!O71,64)</f>
        <v>1920</v>
      </c>
      <c r="O36" s="3"/>
    </row>
    <row r="37" spans="1:15">
      <c r="A37" s="15" t="s">
        <v>191</v>
      </c>
      <c r="B37" s="3">
        <f>CEILING(Overview!C72,64)</f>
        <v>1088</v>
      </c>
      <c r="C37" s="3"/>
      <c r="E37" s="15" t="s">
        <v>191</v>
      </c>
      <c r="F37" s="3">
        <f>CEILING(Overview!G72,64)</f>
        <v>1472</v>
      </c>
      <c r="G37" s="3"/>
      <c r="I37" s="15" t="s">
        <v>191</v>
      </c>
      <c r="J37" s="3">
        <f>CEILING(Overview!K72,64)</f>
        <v>1088</v>
      </c>
      <c r="K37" s="3"/>
      <c r="M37" s="15" t="s">
        <v>191</v>
      </c>
      <c r="N37" s="3">
        <f>CEILING(Overview!O72,64)</f>
        <v>1088</v>
      </c>
      <c r="O37" s="3"/>
    </row>
    <row r="38" spans="1:15">
      <c r="A38" s="15" t="s">
        <v>192</v>
      </c>
      <c r="B38" s="3">
        <f>IF(B24&gt;0,DEC_BS_SIZE(B36,B37,B29)/1024,0)</f>
        <v>918</v>
      </c>
      <c r="C38" s="3"/>
      <c r="E38" s="15" t="s">
        <v>192</v>
      </c>
      <c r="F38" s="3">
        <f>IF(F24&gt;0,DEC_BS_SIZE(F36,F37,F29)/1024,0)</f>
        <v>0</v>
      </c>
      <c r="G38" s="3"/>
      <c r="I38" s="15" t="s">
        <v>192</v>
      </c>
      <c r="J38" s="3">
        <f>IF(J24&gt;0,DEC_BS_SIZE(J36,J37,J29)/1024,0)</f>
        <v>0</v>
      </c>
      <c r="K38" s="3"/>
      <c r="M38" s="15" t="s">
        <v>192</v>
      </c>
      <c r="N38" s="3">
        <f>IF(N24&gt;0,DEC_BS_SIZE(N36,N37,N29)/1024,0)</f>
        <v>0</v>
      </c>
      <c r="O38" s="3"/>
    </row>
    <row r="39" spans="1:15">
      <c r="A39" s="18" t="s">
        <v>193</v>
      </c>
      <c r="B39" s="3">
        <f>CEILING(((B35*2)+(B27/8/25)*(B31-2))*B24,4)+F39+J39+N39</f>
        <v>7468</v>
      </c>
      <c r="C39" s="35"/>
      <c r="E39" s="18" t="s">
        <v>193</v>
      </c>
      <c r="F39" s="3">
        <f>IF(OR(Overview!$C$2="315/316",Overview!$C$2="316x2"),CEILING(((F35*2)+(F27/8/25)*(F31-2))*F24,4),0)</f>
        <v>0</v>
      </c>
      <c r="G39" s="35" t="s">
        <v>9</v>
      </c>
      <c r="I39" s="18" t="s">
        <v>193</v>
      </c>
      <c r="J39" s="3">
        <f>IF(Overview!$C$2="316x2",CEILING(((J35*2)+(J27/8/25)*(J31-2))*J24,4),0)</f>
        <v>0</v>
      </c>
      <c r="K39" s="35" t="s">
        <v>9</v>
      </c>
      <c r="M39" s="18" t="s">
        <v>193</v>
      </c>
      <c r="N39" s="3">
        <f>IF(Overview!$C$2="316x2",CEILING(((N35*2)+(N27/8/25)*(N31-2))*N24,4),0)</f>
        <v>0</v>
      </c>
      <c r="O39" s="35" t="s">
        <v>9</v>
      </c>
    </row>
    <row r="40" spans="1:15">
      <c r="A40" s="18" t="s">
        <v>194</v>
      </c>
      <c r="B40" s="3">
        <f>CEILING(B34+B33,4)*B24*B30</f>
        <v>25504</v>
      </c>
      <c r="C40" s="3"/>
      <c r="E40" s="18" t="s">
        <v>194</v>
      </c>
      <c r="F40" s="3">
        <f>CEILING(F34+F33,4)*F24*F30</f>
        <v>0</v>
      </c>
      <c r="G40" s="3"/>
      <c r="I40" s="18" t="s">
        <v>194</v>
      </c>
      <c r="J40" s="3">
        <f>CEILING(J34+J33,4)*J24*J30</f>
        <v>0</v>
      </c>
      <c r="K40" s="3"/>
      <c r="M40" s="18" t="s">
        <v>194</v>
      </c>
      <c r="N40" s="3">
        <f>CEILING(N34+N33,4)*N24*N30</f>
        <v>0</v>
      </c>
      <c r="O40" s="3"/>
    </row>
    <row r="41" spans="1:15">
      <c r="A41" s="18" t="s">
        <v>195</v>
      </c>
      <c r="B41" s="3">
        <f>CEILING(B34,4)*B24*B30*B32</f>
        <v>6120</v>
      </c>
      <c r="C41" s="3"/>
      <c r="E41" s="18" t="s">
        <v>195</v>
      </c>
      <c r="F41" s="3">
        <f>CEILING(F34,4)*F24*F30*F32</f>
        <v>0</v>
      </c>
      <c r="G41" s="3"/>
      <c r="I41" s="18" t="s">
        <v>195</v>
      </c>
      <c r="J41" s="3">
        <f>CEILING(J34,4)*J24*J30*J32</f>
        <v>0</v>
      </c>
      <c r="K41" s="3"/>
      <c r="M41" s="18" t="s">
        <v>195</v>
      </c>
      <c r="N41" s="3">
        <f>CEILING(N34,4)*N24*N30*N32</f>
        <v>0</v>
      </c>
      <c r="O41" s="3"/>
    </row>
  </sheetData>
  <mergeCells count="4">
    <mergeCell ref="A1:C1"/>
    <mergeCell ref="E1:G1"/>
    <mergeCell ref="I1:K1"/>
    <mergeCell ref="M1:O1"/>
  </mergeCells>
  <conditionalFormatting sqref="E1:O41">
    <cfRule type="expression" dxfId="0" priority="7" stopIfTrue="1">
      <formula>NOT(OR(Overview!$C$2="315/316",Overview!$C$2="316x2"))</formula>
    </cfRule>
  </conditionalFormatting>
  <conditionalFormatting sqref="I1:O41">
    <cfRule type="expression" dxfId="0" priority="6" stopIfTrue="1">
      <formula>NOT(Overview!$C$2="316x2")</formula>
    </cfRule>
  </conditionalFormatting>
  <dataValidations count="1">
    <dataValidation type="whole" operator="greaterThanOrEqual" allowBlank="1" showInputMessage="1" showErrorMessage="1" sqref="B11 B31">
      <formula1>2</formula1>
    </dataValidation>
  </dataValidations>
  <pageMargins left="0.699305555555556" right="0.699305555555556" top="0.75" bottom="0.75" header="0.3" footer="0.3"/>
  <pageSetup paperSize="148"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6"/>
  <dimension ref="A1:C18"/>
  <sheetViews>
    <sheetView workbookViewId="0">
      <selection activeCell="B18" sqref="B18"/>
    </sheetView>
  </sheetViews>
  <sheetFormatPr defaultColWidth="9" defaultRowHeight="14.25" outlineLevelCol="2"/>
  <cols>
    <col min="1" max="1" width="37.25" customWidth="1"/>
    <col min="2" max="2" width="10.375" customWidth="1"/>
  </cols>
  <sheetData>
    <row r="1" ht="16.5" spans="1:3">
      <c r="A1" s="9" t="s">
        <v>9</v>
      </c>
      <c r="B1" s="10"/>
      <c r="C1" s="11"/>
    </row>
    <row r="2" ht="7.9" customHeight="1" spans="2:3">
      <c r="B2" s="2"/>
      <c r="C2" s="12"/>
    </row>
    <row r="3" ht="16.5" spans="1:3">
      <c r="A3" s="13" t="s">
        <v>196</v>
      </c>
      <c r="B3" s="14" t="s">
        <v>122</v>
      </c>
      <c r="C3" s="14" t="s">
        <v>123</v>
      </c>
    </row>
    <row r="4" spans="1:3">
      <c r="A4" s="26" t="s">
        <v>32</v>
      </c>
      <c r="B4" s="16">
        <f>Overview!C124</f>
        <v>8</v>
      </c>
      <c r="C4" s="16"/>
    </row>
    <row r="5" spans="1:3">
      <c r="A5" s="26" t="s">
        <v>197</v>
      </c>
      <c r="B5" s="16">
        <f>Overview!C126</f>
        <v>1</v>
      </c>
      <c r="C5" s="16"/>
    </row>
    <row r="6" spans="1:3">
      <c r="A6" s="26" t="s">
        <v>198</v>
      </c>
      <c r="B6" s="16">
        <f>Overview!C127</f>
        <v>16</v>
      </c>
      <c r="C6" s="16"/>
    </row>
    <row r="7" spans="1:3">
      <c r="A7" s="26" t="s">
        <v>62</v>
      </c>
      <c r="B7" s="16">
        <f>Overview!C128</f>
        <v>320</v>
      </c>
      <c r="C7" s="16"/>
    </row>
    <row r="8" spans="1:3">
      <c r="A8" s="26" t="s">
        <v>199</v>
      </c>
      <c r="B8" s="16">
        <v>1</v>
      </c>
      <c r="C8" s="16"/>
    </row>
    <row r="9" spans="1:3">
      <c r="A9" s="29" t="s">
        <v>200</v>
      </c>
      <c r="B9" s="16">
        <f>Overview!C129</f>
        <v>20</v>
      </c>
      <c r="C9" s="16"/>
    </row>
    <row r="10" spans="1:3">
      <c r="A10" s="28" t="s">
        <v>201</v>
      </c>
      <c r="B10" s="16">
        <f>CEILING((B7*B5*B6*B4/8)*B9*B8/1024,4)</f>
        <v>100</v>
      </c>
      <c r="C10" s="16"/>
    </row>
    <row r="12" ht="16.5" spans="1:3">
      <c r="A12" s="13" t="s">
        <v>202</v>
      </c>
      <c r="B12" s="14" t="s">
        <v>122</v>
      </c>
      <c r="C12" s="14" t="s">
        <v>123</v>
      </c>
    </row>
    <row r="13" spans="1:3">
      <c r="A13" s="15" t="s">
        <v>32</v>
      </c>
      <c r="B13" s="16">
        <f>Overview!C130</f>
        <v>1</v>
      </c>
      <c r="C13" s="16"/>
    </row>
    <row r="14" spans="1:3">
      <c r="A14" s="15" t="s">
        <v>197</v>
      </c>
      <c r="B14" s="16">
        <f>Overview!C132</f>
        <v>1</v>
      </c>
      <c r="C14" s="16"/>
    </row>
    <row r="15" spans="1:3">
      <c r="A15" s="26" t="s">
        <v>198</v>
      </c>
      <c r="B15" s="16">
        <f>Overview!C133</f>
        <v>16</v>
      </c>
      <c r="C15" s="16"/>
    </row>
    <row r="16" spans="1:3">
      <c r="A16" s="26" t="s">
        <v>62</v>
      </c>
      <c r="B16" s="30">
        <f>Overview!C134</f>
        <v>1024</v>
      </c>
      <c r="C16" s="16"/>
    </row>
    <row r="17" spans="1:3">
      <c r="A17" s="29" t="s">
        <v>200</v>
      </c>
      <c r="B17" s="30">
        <f>Overview!C135</f>
        <v>10</v>
      </c>
      <c r="C17" s="16"/>
    </row>
    <row r="18" spans="1:3">
      <c r="A18" s="18" t="s">
        <v>203</v>
      </c>
      <c r="B18" s="16">
        <f>CEILING((B16*B14*B15*B13/8)*B17/1024,4)</f>
        <v>20</v>
      </c>
      <c r="C18" s="16"/>
    </row>
  </sheetData>
  <mergeCells count="1">
    <mergeCell ref="A1:C1"/>
  </mergeCells>
  <pageMargins left="0.699305555555556" right="0.699305555555556" top="0.75" bottom="0.75" header="0.3" footer="0.3"/>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7"/>
  <dimension ref="A1:C17"/>
  <sheetViews>
    <sheetView workbookViewId="0">
      <selection activeCell="B12" sqref="B12"/>
    </sheetView>
  </sheetViews>
  <sheetFormatPr defaultColWidth="9" defaultRowHeight="14.25" outlineLevelCol="2"/>
  <cols>
    <col min="1" max="1" width="33.75" customWidth="1"/>
    <col min="2" max="2" width="10.25" customWidth="1"/>
    <col min="3" max="3" width="10.625" customWidth="1"/>
  </cols>
  <sheetData>
    <row r="1" ht="16.5" spans="1:3">
      <c r="A1" s="9" t="s">
        <v>9</v>
      </c>
      <c r="B1" s="10"/>
      <c r="C1" s="11"/>
    </row>
    <row r="2" ht="4.15" customHeight="1"/>
    <row r="3" ht="16.5" spans="1:3">
      <c r="A3" s="20" t="s">
        <v>204</v>
      </c>
      <c r="B3" s="20" t="s">
        <v>122</v>
      </c>
      <c r="C3" s="21" t="s">
        <v>123</v>
      </c>
    </row>
    <row r="4" spans="1:3">
      <c r="A4" s="15" t="s">
        <v>14</v>
      </c>
      <c r="B4" s="3">
        <f>IF(Overview!C116=0,0,1)</f>
        <v>1</v>
      </c>
      <c r="C4" s="16"/>
    </row>
    <row r="5" spans="1:3">
      <c r="A5" s="15" t="s">
        <v>130</v>
      </c>
      <c r="B5" s="3">
        <f>Overview!C117</f>
        <v>720</v>
      </c>
      <c r="C5" s="16"/>
    </row>
    <row r="6" spans="1:3">
      <c r="A6" s="15" t="s">
        <v>132</v>
      </c>
      <c r="B6" s="3">
        <f>Overview!C118</f>
        <v>576</v>
      </c>
      <c r="C6" s="16"/>
    </row>
    <row r="7" spans="1:3">
      <c r="A7" s="22" t="s">
        <v>133</v>
      </c>
      <c r="B7" s="23">
        <f>Overview!C119</f>
        <v>4</v>
      </c>
      <c r="C7" s="16"/>
    </row>
    <row r="8" spans="1:3">
      <c r="A8" s="15" t="s">
        <v>205</v>
      </c>
      <c r="B8" s="24">
        <f>Overview!C121</f>
        <v>4096</v>
      </c>
      <c r="C8" s="16"/>
    </row>
    <row r="9" spans="1:3">
      <c r="A9" s="15" t="s">
        <v>206</v>
      </c>
      <c r="B9" s="3">
        <f>Overview!C120</f>
        <v>1.125</v>
      </c>
      <c r="C9" s="16"/>
    </row>
    <row r="10" spans="1:3">
      <c r="A10" s="15" t="s">
        <v>207</v>
      </c>
      <c r="B10" s="3">
        <f>Overview!C122</f>
        <v>0.3</v>
      </c>
      <c r="C10" s="16"/>
    </row>
    <row r="11" spans="1:3">
      <c r="A11" s="22" t="s">
        <v>169</v>
      </c>
      <c r="B11" s="25">
        <v>7</v>
      </c>
      <c r="C11" s="16"/>
    </row>
    <row r="12" spans="1:3">
      <c r="A12" s="22" t="s">
        <v>208</v>
      </c>
      <c r="B12" s="25">
        <v>1</v>
      </c>
      <c r="C12" s="16"/>
    </row>
    <row r="13" spans="1:3">
      <c r="A13" s="26" t="s">
        <v>171</v>
      </c>
      <c r="B13" s="3">
        <f>CEILING(YUVSIZE(B5,B6,B9)/1024,4)</f>
        <v>476</v>
      </c>
      <c r="C13" s="16"/>
    </row>
    <row r="14" spans="1:3">
      <c r="A14" s="18" t="s">
        <v>180</v>
      </c>
      <c r="B14" s="27">
        <f>CEILING(YUVSIZE(B5,B6,B9)*B7/1024,4)*B4</f>
        <v>1892</v>
      </c>
      <c r="C14" s="16"/>
    </row>
    <row r="15" spans="1:3">
      <c r="A15" s="18" t="s">
        <v>173</v>
      </c>
      <c r="B15" s="27">
        <f>CEILING((((ENC_BS_SIZE(B5,B6,B10)*2)/1024+(B8/8/30)*(B11-2))),4)*B4</f>
        <v>372</v>
      </c>
      <c r="C15" s="16"/>
    </row>
    <row r="16" spans="1:3">
      <c r="A16" s="28" t="s">
        <v>174</v>
      </c>
      <c r="B16" s="3">
        <f>CEILING((CEILING(B5,64)*CEILING(B6,64)*1.5)*1.06/1024,4)*B4</f>
        <v>688</v>
      </c>
      <c r="C16" s="16"/>
    </row>
    <row r="17" spans="1:3">
      <c r="A17" s="18" t="s">
        <v>175</v>
      </c>
      <c r="B17" s="3">
        <f>B12*B4</f>
        <v>1</v>
      </c>
      <c r="C17" s="16"/>
    </row>
  </sheetData>
  <mergeCells count="1">
    <mergeCell ref="A1:C1"/>
  </mergeCells>
  <dataValidations count="1">
    <dataValidation type="whole" operator="greaterThanOrEqual" allowBlank="1" showInputMessage="1" showErrorMessage="1" sqref="B11">
      <formula1>2</formula1>
    </dataValidation>
  </dataValidations>
  <pageMargins left="0.699305555555556" right="0.699305555555556" top="0.75" bottom="0.75" header="0.3" footer="0.3"/>
  <pageSetup paperSize="148" orientation="portrait"/>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8"/>
  <dimension ref="A1:O27"/>
  <sheetViews>
    <sheetView workbookViewId="0">
      <selection activeCell="E10" sqref="E10"/>
    </sheetView>
  </sheetViews>
  <sheetFormatPr defaultColWidth="9" defaultRowHeight="14.25"/>
  <cols>
    <col min="1" max="1" width="19.375" customWidth="1"/>
    <col min="4" max="4" width="1.125" customWidth="1"/>
    <col min="5" max="5" width="19.875" customWidth="1"/>
    <col min="8" max="8" width="1.125" customWidth="1"/>
    <col min="9" max="9" width="20" customWidth="1"/>
    <col min="12" max="12" width="1" customWidth="1"/>
    <col min="13" max="13" width="19.875" customWidth="1"/>
  </cols>
  <sheetData>
    <row r="1" ht="16.5" spans="1:15">
      <c r="A1" s="9" t="s">
        <v>9</v>
      </c>
      <c r="B1" s="10"/>
      <c r="C1" s="11"/>
      <c r="E1" s="9" t="s">
        <v>10</v>
      </c>
      <c r="F1" s="10"/>
      <c r="G1" s="11"/>
      <c r="I1" s="9" t="s">
        <v>11</v>
      </c>
      <c r="J1" s="10"/>
      <c r="K1" s="11"/>
      <c r="M1" s="9" t="s">
        <v>12</v>
      </c>
      <c r="N1" s="10"/>
      <c r="O1" s="11"/>
    </row>
    <row r="2" ht="3.6" customHeight="1" spans="2:15">
      <c r="B2" s="2"/>
      <c r="C2" s="12"/>
      <c r="F2" s="2"/>
      <c r="G2" s="12"/>
      <c r="J2" s="2"/>
      <c r="K2" s="12"/>
      <c r="N2" s="2"/>
      <c r="O2" s="12"/>
    </row>
    <row r="3" ht="33" spans="1:15">
      <c r="A3" s="13" t="s">
        <v>209</v>
      </c>
      <c r="B3" s="14" t="s">
        <v>122</v>
      </c>
      <c r="C3" s="14" t="s">
        <v>123</v>
      </c>
      <c r="E3" s="13" t="s">
        <v>209</v>
      </c>
      <c r="F3" s="14" t="s">
        <v>122</v>
      </c>
      <c r="G3" s="14" t="s">
        <v>123</v>
      </c>
      <c r="I3" s="13" t="s">
        <v>209</v>
      </c>
      <c r="J3" s="14" t="s">
        <v>122</v>
      </c>
      <c r="K3" s="14" t="s">
        <v>123</v>
      </c>
      <c r="M3" s="13" t="s">
        <v>209</v>
      </c>
      <c r="N3" s="14" t="s">
        <v>122</v>
      </c>
      <c r="O3" s="14" t="s">
        <v>123</v>
      </c>
    </row>
    <row r="4" spans="1:15">
      <c r="A4" s="15" t="s">
        <v>210</v>
      </c>
      <c r="B4" s="3">
        <f>IF(Overview!C76*Overview!C75&gt;Overview!C88*Overview!C87,Overview!C76,Overview!C88)</f>
        <v>1920</v>
      </c>
      <c r="C4" s="16"/>
      <c r="E4" s="15" t="s">
        <v>210</v>
      </c>
      <c r="F4" s="3">
        <v>1920</v>
      </c>
      <c r="G4" s="16"/>
      <c r="I4" s="15" t="s">
        <v>210</v>
      </c>
      <c r="J4" s="3">
        <v>1920</v>
      </c>
      <c r="K4" s="16"/>
      <c r="M4" s="15" t="s">
        <v>210</v>
      </c>
      <c r="N4" s="3">
        <v>1920</v>
      </c>
      <c r="O4" s="16"/>
    </row>
    <row r="5" spans="1:15">
      <c r="A5" s="15" t="s">
        <v>211</v>
      </c>
      <c r="B5" s="3">
        <f>IF(Overview!C77*Overview!C75&gt;Overview!C89*Overview!C87,Overview!C77,Overview!C89)</f>
        <v>1080</v>
      </c>
      <c r="C5" s="16"/>
      <c r="E5" s="15" t="s">
        <v>211</v>
      </c>
      <c r="F5" s="3">
        <v>1080</v>
      </c>
      <c r="G5" s="16"/>
      <c r="I5" s="15" t="s">
        <v>211</v>
      </c>
      <c r="J5" s="3">
        <v>1080</v>
      </c>
      <c r="K5" s="16"/>
      <c r="M5" s="15" t="s">
        <v>211</v>
      </c>
      <c r="N5" s="3">
        <v>1080</v>
      </c>
      <c r="O5" s="16"/>
    </row>
    <row r="6" spans="1:15">
      <c r="A6" s="15" t="s">
        <v>212</v>
      </c>
      <c r="B6" s="3">
        <f>IF(B5&lt;=1088,16,32)</f>
        <v>16</v>
      </c>
      <c r="C6" s="16"/>
      <c r="E6" s="15" t="s">
        <v>212</v>
      </c>
      <c r="F6" s="3">
        <f>IF(F5&lt;=1088,16,32)</f>
        <v>16</v>
      </c>
      <c r="G6" s="16"/>
      <c r="I6" s="15" t="s">
        <v>212</v>
      </c>
      <c r="J6" s="3">
        <f>IF(J5&lt;=1088,16,32)</f>
        <v>16</v>
      </c>
      <c r="K6" s="16"/>
      <c r="M6" s="15" t="s">
        <v>212</v>
      </c>
      <c r="N6" s="3">
        <f>IF(N5&lt;=1088,16,32)</f>
        <v>16</v>
      </c>
      <c r="O6" s="16"/>
    </row>
    <row r="7" spans="1:15">
      <c r="A7" s="17" t="s">
        <v>213</v>
      </c>
      <c r="B7" s="3">
        <f>(B4/B6)*(B5/B6)*256/8/1024</f>
        <v>253.125</v>
      </c>
      <c r="C7" s="16"/>
      <c r="E7" s="17" t="s">
        <v>213</v>
      </c>
      <c r="F7" s="3">
        <f>(F4/F6)*(F5/F6)*256/8/1024</f>
        <v>253.125</v>
      </c>
      <c r="G7" s="16"/>
      <c r="I7" s="17" t="s">
        <v>213</v>
      </c>
      <c r="J7" s="3">
        <f>(J4/J6)*(J5/J6)*256/8/1024</f>
        <v>253.125</v>
      </c>
      <c r="K7" s="16"/>
      <c r="M7" s="17" t="s">
        <v>213</v>
      </c>
      <c r="N7" s="3">
        <f>(N4/N6)*(N5/N6)*256/8/1024</f>
        <v>253.125</v>
      </c>
      <c r="O7" s="16"/>
    </row>
    <row r="8" spans="1:15">
      <c r="A8" s="17" t="s">
        <v>214</v>
      </c>
      <c r="B8" s="3">
        <f>(256*(B5/B6)*8/8/1024)*2</f>
        <v>33.75</v>
      </c>
      <c r="C8" s="16"/>
      <c r="E8" s="17" t="s">
        <v>214</v>
      </c>
      <c r="F8" s="3">
        <f>(256*(F5/F6)*8/8/1024)*2</f>
        <v>33.75</v>
      </c>
      <c r="G8" s="16"/>
      <c r="I8" s="17" t="s">
        <v>214</v>
      </c>
      <c r="J8" s="3">
        <f>(256*(J5/J6)*8/8/1024)*2</f>
        <v>33.75</v>
      </c>
      <c r="K8" s="16"/>
      <c r="M8" s="17" t="s">
        <v>214</v>
      </c>
      <c r="N8" s="3">
        <f>(256*(N5/N6)*8/8/1024)*2</f>
        <v>33.75</v>
      </c>
      <c r="O8" s="16"/>
    </row>
    <row r="9" spans="1:15">
      <c r="A9" s="18" t="s">
        <v>215</v>
      </c>
      <c r="B9" s="3">
        <f>CEILING(B7+B8+1,4)</f>
        <v>288</v>
      </c>
      <c r="C9" s="16" t="s">
        <v>216</v>
      </c>
      <c r="E9" s="18" t="s">
        <v>215</v>
      </c>
      <c r="F9" s="3">
        <f>CEILING(F7+F8+1,4)</f>
        <v>288</v>
      </c>
      <c r="G9" s="16" t="s">
        <v>216</v>
      </c>
      <c r="I9" s="18" t="s">
        <v>215</v>
      </c>
      <c r="J9" s="3">
        <f>CEILING(J7+J8+1,4)</f>
        <v>288</v>
      </c>
      <c r="K9" s="16" t="s">
        <v>216</v>
      </c>
      <c r="M9" s="18" t="s">
        <v>215</v>
      </c>
      <c r="N9" s="3">
        <f>CEILING(N7+N8+1,4)</f>
        <v>288</v>
      </c>
      <c r="O9" s="16" t="s">
        <v>216</v>
      </c>
    </row>
    <row r="10" spans="1:15">
      <c r="A10" s="18" t="s">
        <v>217</v>
      </c>
      <c r="B10" s="3">
        <f>IF(Overview!C3="NVR",0,Overview!C75+Overview!C87+F10+J10+N10)</f>
        <v>0</v>
      </c>
      <c r="C10" s="16"/>
      <c r="E10" s="18" t="s">
        <v>217</v>
      </c>
      <c r="F10" s="3">
        <f>IF(OR(Overview!$C$2="315/316",Overview!$C$2="316x2"),Overview!G75+Overview!G87,0)</f>
        <v>0</v>
      </c>
      <c r="G10" s="16"/>
      <c r="I10" s="18" t="s">
        <v>217</v>
      </c>
      <c r="J10" s="3">
        <f>IF(Overview!$C$2="316x2",Overview!K75+Overview!K87,0)</f>
        <v>0</v>
      </c>
      <c r="K10" s="16"/>
      <c r="M10" s="18" t="s">
        <v>217</v>
      </c>
      <c r="N10" s="3">
        <f>IF(Overview!$C$2="316x2",Overview!O75+Overview!O87,0)</f>
        <v>0</v>
      </c>
      <c r="O10" s="16"/>
    </row>
    <row r="13" spans="1:8">
      <c r="A13" s="19" t="s">
        <v>218</v>
      </c>
      <c r="B13" s="19"/>
      <c r="C13" s="19"/>
      <c r="D13" s="19"/>
      <c r="E13" s="19"/>
      <c r="F13" s="19"/>
      <c r="G13" s="19"/>
      <c r="H13" s="19"/>
    </row>
    <row r="14" spans="1:8">
      <c r="A14" s="19"/>
      <c r="B14" s="19"/>
      <c r="C14" s="19"/>
      <c r="D14" s="19"/>
      <c r="E14" s="19"/>
      <c r="F14" s="19"/>
      <c r="G14" s="19"/>
      <c r="H14" s="19"/>
    </row>
    <row r="15" spans="1:8">
      <c r="A15" s="19"/>
      <c r="B15" s="19"/>
      <c r="C15" s="19"/>
      <c r="D15" s="19"/>
      <c r="E15" s="19"/>
      <c r="F15" s="19"/>
      <c r="G15" s="19"/>
      <c r="H15" s="19"/>
    </row>
    <row r="16" spans="1:8">
      <c r="A16" s="19"/>
      <c r="B16" s="19"/>
      <c r="C16" s="19"/>
      <c r="D16" s="19"/>
      <c r="E16" s="19"/>
      <c r="F16" s="19"/>
      <c r="G16" s="19"/>
      <c r="H16" s="19"/>
    </row>
    <row r="17" spans="1:8">
      <c r="A17" s="19"/>
      <c r="B17" s="19"/>
      <c r="C17" s="19"/>
      <c r="D17" s="19"/>
      <c r="E17" s="19"/>
      <c r="F17" s="19"/>
      <c r="G17" s="19"/>
      <c r="H17" s="19"/>
    </row>
    <row r="18" spans="1:8">
      <c r="A18" s="19"/>
      <c r="B18" s="19"/>
      <c r="C18" s="19"/>
      <c r="D18" s="19"/>
      <c r="E18" s="19"/>
      <c r="F18" s="19"/>
      <c r="G18" s="19"/>
      <c r="H18" s="19"/>
    </row>
    <row r="19" spans="1:8">
      <c r="A19" s="19"/>
      <c r="B19" s="19"/>
      <c r="C19" s="19"/>
      <c r="D19" s="19"/>
      <c r="E19" s="19"/>
      <c r="F19" s="19"/>
      <c r="G19" s="19"/>
      <c r="H19" s="19"/>
    </row>
    <row r="20" spans="1:8">
      <c r="A20" s="19"/>
      <c r="B20" s="19"/>
      <c r="C20" s="19"/>
      <c r="D20" s="19"/>
      <c r="E20" s="19"/>
      <c r="F20" s="19"/>
      <c r="G20" s="19"/>
      <c r="H20" s="19"/>
    </row>
    <row r="21" spans="1:8">
      <c r="A21" s="19"/>
      <c r="B21" s="19"/>
      <c r="C21" s="19"/>
      <c r="D21" s="19"/>
      <c r="E21" s="19"/>
      <c r="F21" s="19"/>
      <c r="G21" s="19"/>
      <c r="H21" s="19"/>
    </row>
    <row r="22" spans="1:8">
      <c r="A22" s="19"/>
      <c r="B22" s="19"/>
      <c r="C22" s="19"/>
      <c r="D22" s="19"/>
      <c r="E22" s="19"/>
      <c r="F22" s="19"/>
      <c r="G22" s="19"/>
      <c r="H22" s="19"/>
    </row>
    <row r="23" spans="1:8">
      <c r="A23" s="19"/>
      <c r="B23" s="19"/>
      <c r="C23" s="19"/>
      <c r="D23" s="19"/>
      <c r="E23" s="19"/>
      <c r="F23" s="19"/>
      <c r="G23" s="19"/>
      <c r="H23" s="19"/>
    </row>
    <row r="24" spans="1:8">
      <c r="A24" s="19"/>
      <c r="B24" s="19"/>
      <c r="C24" s="19"/>
      <c r="D24" s="19"/>
      <c r="E24" s="19"/>
      <c r="F24" s="19"/>
      <c r="G24" s="19"/>
      <c r="H24" s="19"/>
    </row>
    <row r="25" spans="1:8">
      <c r="A25" s="19"/>
      <c r="B25" s="19"/>
      <c r="C25" s="19"/>
      <c r="D25" s="19"/>
      <c r="E25" s="19"/>
      <c r="F25" s="19"/>
      <c r="G25" s="19"/>
      <c r="H25" s="19"/>
    </row>
    <row r="26" spans="1:8">
      <c r="A26" s="19"/>
      <c r="B26" s="19"/>
      <c r="C26" s="19"/>
      <c r="D26" s="19"/>
      <c r="E26" s="19"/>
      <c r="F26" s="19"/>
      <c r="G26" s="19"/>
      <c r="H26" s="19"/>
    </row>
    <row r="27" spans="1:8">
      <c r="A27" s="19"/>
      <c r="B27" s="19"/>
      <c r="C27" s="19"/>
      <c r="D27" s="19"/>
      <c r="E27" s="19"/>
      <c r="F27" s="19"/>
      <c r="G27" s="19"/>
      <c r="H27" s="19"/>
    </row>
  </sheetData>
  <sheetProtection selectLockedCells="1" selectUnlockedCells="1"/>
  <mergeCells count="5">
    <mergeCell ref="A1:C1"/>
    <mergeCell ref="E1:G1"/>
    <mergeCell ref="I1:K1"/>
    <mergeCell ref="M1:O1"/>
    <mergeCell ref="A13:H27"/>
  </mergeCells>
  <conditionalFormatting sqref="E1:G10">
    <cfRule type="expression" dxfId="0" priority="2" stopIfTrue="1">
      <formula>NOT(OR(Overview!$C$2="315/316",Overview!$C$2="316x2"))</formula>
    </cfRule>
  </conditionalFormatting>
  <conditionalFormatting sqref="I1:O10">
    <cfRule type="expression" dxfId="0" priority="1" stopIfTrue="1">
      <formula>NOT(Overview!$C$2="316x2")</formula>
    </cfRule>
  </conditionalFormatting>
  <pageMargins left="0.699305555555556" right="0.699305555555556" top="0.75" bottom="0.75" header="0.3" footer="0.3"/>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工作表10"/>
  <dimension ref="B2:J35"/>
  <sheetViews>
    <sheetView workbookViewId="0">
      <selection activeCell="A1" sqref="A1"/>
    </sheetView>
  </sheetViews>
  <sheetFormatPr defaultColWidth="9" defaultRowHeight="14.25"/>
  <cols>
    <col min="2" max="2" width="18" customWidth="1"/>
    <col min="3" max="3" width="5" customWidth="1"/>
    <col min="4" max="4" width="16.5" customWidth="1"/>
    <col min="5" max="5" width="6.25" customWidth="1"/>
    <col min="6" max="6" width="16.375" customWidth="1"/>
    <col min="7" max="7" width="6.625" customWidth="1"/>
    <col min="8" max="8" width="16" customWidth="1"/>
    <col min="10" max="10" width="25.875" customWidth="1"/>
  </cols>
  <sheetData>
    <row r="2" spans="2:10">
      <c r="B2" s="1" t="s">
        <v>219</v>
      </c>
      <c r="C2" s="2"/>
      <c r="D2" s="1" t="s">
        <v>220</v>
      </c>
      <c r="E2" s="2"/>
      <c r="F2" s="1" t="s">
        <v>221</v>
      </c>
      <c r="G2" s="2"/>
      <c r="H2" s="1" t="s">
        <v>57</v>
      </c>
      <c r="J2" s="1" t="s">
        <v>222</v>
      </c>
    </row>
    <row r="3" ht="28.15" customHeight="1" spans="2:8">
      <c r="B3" s="2"/>
      <c r="C3" s="2"/>
      <c r="D3" s="2"/>
      <c r="E3" s="2"/>
      <c r="F3" s="2"/>
      <c r="G3" s="2"/>
      <c r="H3" s="2"/>
    </row>
    <row r="4" spans="2:10">
      <c r="B4" s="3" t="s">
        <v>223</v>
      </c>
      <c r="C4" s="2"/>
      <c r="D4" s="4" t="s">
        <v>224</v>
      </c>
      <c r="E4" s="2"/>
      <c r="F4" s="3" t="s">
        <v>223</v>
      </c>
      <c r="G4" s="2"/>
      <c r="H4" s="5" t="s">
        <v>225</v>
      </c>
      <c r="J4" s="3" t="s">
        <v>226</v>
      </c>
    </row>
    <row r="5" spans="2:10">
      <c r="B5" s="2" t="s">
        <v>227</v>
      </c>
      <c r="C5" s="2"/>
      <c r="D5" s="4"/>
      <c r="E5" s="2"/>
      <c r="F5" s="2" t="s">
        <v>227</v>
      </c>
      <c r="G5" s="2"/>
      <c r="H5" s="5"/>
      <c r="J5" s="2" t="s">
        <v>227</v>
      </c>
    </row>
    <row r="6" spans="2:10">
      <c r="B6" s="4" t="s">
        <v>228</v>
      </c>
      <c r="C6" s="2"/>
      <c r="D6" s="4"/>
      <c r="E6" s="2"/>
      <c r="F6" s="6" t="s">
        <v>229</v>
      </c>
      <c r="G6" s="2"/>
      <c r="H6" s="5"/>
      <c r="J6" s="4" t="s">
        <v>230</v>
      </c>
    </row>
    <row r="7" spans="2:10">
      <c r="B7" s="4"/>
      <c r="C7" s="2"/>
      <c r="D7" s="2" t="s">
        <v>227</v>
      </c>
      <c r="E7" s="2"/>
      <c r="F7" s="7"/>
      <c r="G7" s="2"/>
      <c r="H7" s="2" t="s">
        <v>227</v>
      </c>
      <c r="J7" s="4"/>
    </row>
    <row r="8" spans="2:10">
      <c r="B8" s="4"/>
      <c r="C8" s="2"/>
      <c r="D8" s="3" t="s">
        <v>231</v>
      </c>
      <c r="E8" s="2"/>
      <c r="F8" s="8"/>
      <c r="G8" s="2"/>
      <c r="H8" s="3" t="s">
        <v>232</v>
      </c>
      <c r="J8" s="4"/>
    </row>
    <row r="9" spans="2:10">
      <c r="B9" s="2" t="s">
        <v>227</v>
      </c>
      <c r="C9" s="2"/>
      <c r="D9" s="2" t="s">
        <v>227</v>
      </c>
      <c r="E9" s="2"/>
      <c r="F9" s="2" t="s">
        <v>227</v>
      </c>
      <c r="G9" s="2"/>
      <c r="H9" s="2" t="s">
        <v>227</v>
      </c>
      <c r="J9" s="2" t="s">
        <v>227</v>
      </c>
    </row>
    <row r="10" spans="2:10">
      <c r="B10" s="3" t="s">
        <v>232</v>
      </c>
      <c r="C10" s="2"/>
      <c r="D10" s="4" t="s">
        <v>233</v>
      </c>
      <c r="E10" s="2"/>
      <c r="F10" s="3" t="s">
        <v>234</v>
      </c>
      <c r="G10" s="2"/>
      <c r="H10" s="6" t="s">
        <v>235</v>
      </c>
      <c r="J10" s="3" t="s">
        <v>236</v>
      </c>
    </row>
    <row r="11" spans="2:8">
      <c r="B11" s="2" t="s">
        <v>227</v>
      </c>
      <c r="C11" s="2"/>
      <c r="D11" s="4"/>
      <c r="E11" s="2"/>
      <c r="F11" s="2" t="s">
        <v>227</v>
      </c>
      <c r="G11" s="2"/>
      <c r="H11" s="7"/>
    </row>
    <row r="12" spans="2:8">
      <c r="B12" s="5" t="s">
        <v>225</v>
      </c>
      <c r="C12" s="2"/>
      <c r="D12" s="4"/>
      <c r="E12" s="2"/>
      <c r="F12" s="6" t="s">
        <v>237</v>
      </c>
      <c r="G12" s="2"/>
      <c r="H12" s="8"/>
    </row>
    <row r="13" spans="2:8">
      <c r="B13" s="5"/>
      <c r="C13" s="2"/>
      <c r="D13" s="2" t="s">
        <v>227</v>
      </c>
      <c r="E13" s="2"/>
      <c r="F13" s="7"/>
      <c r="G13" s="2"/>
      <c r="H13" s="2" t="s">
        <v>227</v>
      </c>
    </row>
    <row r="14" spans="2:10">
      <c r="B14" s="5"/>
      <c r="C14" s="2"/>
      <c r="D14" s="3" t="s">
        <v>232</v>
      </c>
      <c r="E14" s="2"/>
      <c r="F14" s="8"/>
      <c r="G14" s="2"/>
      <c r="H14" s="3" t="s">
        <v>234</v>
      </c>
      <c r="J14" s="3" t="s">
        <v>238</v>
      </c>
    </row>
    <row r="15" spans="2:10">
      <c r="B15" s="2" t="s">
        <v>227</v>
      </c>
      <c r="C15" s="2"/>
      <c r="D15" s="2" t="s">
        <v>227</v>
      </c>
      <c r="E15" s="2"/>
      <c r="F15" s="2"/>
      <c r="G15" s="2"/>
      <c r="H15" s="2" t="s">
        <v>227</v>
      </c>
      <c r="J15" s="2" t="s">
        <v>227</v>
      </c>
    </row>
    <row r="16" spans="2:10">
      <c r="B16" s="3" t="s">
        <v>239</v>
      </c>
      <c r="C16" s="2"/>
      <c r="D16" s="4" t="s">
        <v>225</v>
      </c>
      <c r="E16" s="2"/>
      <c r="F16" s="2"/>
      <c r="G16" s="2"/>
      <c r="H16" s="6" t="s">
        <v>237</v>
      </c>
      <c r="J16" s="4" t="s">
        <v>240</v>
      </c>
    </row>
    <row r="17" spans="2:10">
      <c r="B17" s="2"/>
      <c r="C17" s="2"/>
      <c r="D17" s="4"/>
      <c r="E17" s="2"/>
      <c r="F17" s="2"/>
      <c r="G17" s="2"/>
      <c r="H17" s="7"/>
      <c r="J17" s="4"/>
    </row>
    <row r="18" spans="2:10">
      <c r="B18" s="2"/>
      <c r="C18" s="2"/>
      <c r="D18" s="4"/>
      <c r="E18" s="2"/>
      <c r="F18" s="3" t="s">
        <v>223</v>
      </c>
      <c r="G18" s="2"/>
      <c r="H18" s="8"/>
      <c r="J18" s="4"/>
    </row>
    <row r="19" spans="2:10">
      <c r="B19" s="2"/>
      <c r="C19" s="2"/>
      <c r="D19" s="2" t="s">
        <v>227</v>
      </c>
      <c r="E19" s="2"/>
      <c r="F19" s="2" t="s">
        <v>227</v>
      </c>
      <c r="G19" s="2"/>
      <c r="H19" s="2"/>
      <c r="J19" s="2" t="s">
        <v>227</v>
      </c>
    </row>
    <row r="20" spans="2:10">
      <c r="B20" s="2"/>
      <c r="C20" s="2"/>
      <c r="D20" s="3" t="s">
        <v>239</v>
      </c>
      <c r="E20" s="2"/>
      <c r="F20" s="6" t="s">
        <v>229</v>
      </c>
      <c r="G20" s="2"/>
      <c r="H20" s="2"/>
      <c r="J20" s="3" t="s">
        <v>241</v>
      </c>
    </row>
    <row r="21" spans="6:6">
      <c r="F21" s="7"/>
    </row>
    <row r="22" spans="6:6">
      <c r="F22" s="8"/>
    </row>
    <row r="23" spans="6:6">
      <c r="F23" s="2" t="s">
        <v>227</v>
      </c>
    </row>
    <row r="24" spans="6:6">
      <c r="F24" s="3" t="s">
        <v>232</v>
      </c>
    </row>
    <row r="25" spans="6:6">
      <c r="F25" s="2" t="s">
        <v>227</v>
      </c>
    </row>
    <row r="26" spans="6:6">
      <c r="F26" s="6" t="s">
        <v>235</v>
      </c>
    </row>
    <row r="27" spans="6:6">
      <c r="F27" s="7"/>
    </row>
    <row r="28" spans="6:6">
      <c r="F28" s="8"/>
    </row>
    <row r="29" spans="6:6">
      <c r="F29" s="2" t="s">
        <v>227</v>
      </c>
    </row>
    <row r="30" spans="6:6">
      <c r="F30" s="3" t="s">
        <v>234</v>
      </c>
    </row>
    <row r="31" spans="6:6">
      <c r="F31" s="2" t="s">
        <v>227</v>
      </c>
    </row>
    <row r="32" spans="6:6">
      <c r="F32" s="6" t="s">
        <v>237</v>
      </c>
    </row>
    <row r="33" spans="6:6">
      <c r="F33" s="7"/>
    </row>
    <row r="34" spans="6:6">
      <c r="F34" s="8"/>
    </row>
    <row r="35" spans="6:6">
      <c r="F35" s="2"/>
    </row>
  </sheetData>
  <sheetProtection selectLockedCells="1" selectUnlockedCells="1"/>
  <mergeCells count="15">
    <mergeCell ref="B6:B8"/>
    <mergeCell ref="B12:B14"/>
    <mergeCell ref="D4:D6"/>
    <mergeCell ref="D10:D12"/>
    <mergeCell ref="D16:D18"/>
    <mergeCell ref="F6:F8"/>
    <mergeCell ref="F12:F14"/>
    <mergeCell ref="F20:F22"/>
    <mergeCell ref="F26:F28"/>
    <mergeCell ref="F32:F34"/>
    <mergeCell ref="H4:H6"/>
    <mergeCell ref="H10:H12"/>
    <mergeCell ref="H16:H18"/>
    <mergeCell ref="J6:J8"/>
    <mergeCell ref="J16:J18"/>
  </mergeCells>
  <pageMargins left="0.699305555555556" right="0.699305555555556" top="0.75" bottom="0.75" header="0.3" footer="0.3"/>
  <pageSetup paperSize="148" orientation="portrait"/>
  <headerFooter/>
</worksheet>
</file>

<file path=docProps/app.xml><?xml version="1.0" encoding="utf-8"?>
<Properties xmlns="http://schemas.openxmlformats.org/officeDocument/2006/extended-properties" xmlns:vt="http://schemas.openxmlformats.org/officeDocument/2006/docPropsVTypes">
  <Company>novatek</Company>
  <Application>Microsoft Excel</Application>
  <HeadingPairs>
    <vt:vector size="2" baseType="variant">
      <vt:variant>
        <vt:lpstr>工作表</vt:lpstr>
      </vt:variant>
      <vt:variant>
        <vt:i4>9</vt:i4>
      </vt:variant>
    </vt:vector>
  </HeadingPairs>
  <TitlesOfParts>
    <vt:vector size="9" baseType="lpstr">
      <vt:lpstr>Overview</vt:lpstr>
      <vt:lpstr>Pool Memory</vt:lpstr>
      <vt:lpstr>Display</vt:lpstr>
      <vt:lpstr>Encode</vt:lpstr>
      <vt:lpstr>Decode</vt:lpstr>
      <vt:lpstr>Audio</vt:lpstr>
      <vt:lpstr>DispEncode</vt:lpstr>
      <vt:lpstr>MotionDetection</vt:lpstr>
      <vt:lpstr>Video Flow</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zbing</cp:lastModifiedBy>
  <dcterms:created xsi:type="dcterms:W3CDTF">2013-05-30T12:41:00Z</dcterms:created>
  <cp:lastPrinted>2015-06-23T13:06:00Z</cp:lastPrinted>
  <dcterms:modified xsi:type="dcterms:W3CDTF">2021-10-25T08:06:26Z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ies>
</file>